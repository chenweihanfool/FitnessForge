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a1a9a4de50dc4e72/桌面/MyPC/"/>
    </mc:Choice>
  </mc:AlternateContent>
  <xr:revisionPtr revIDLastSave="40" documentId="13_ncr:1_{2C1E3D8A-54FA-44EE-BF9F-8D8CA78755BA}" xr6:coauthVersionLast="47" xr6:coauthVersionMax="47" xr10:uidLastSave="{C6FFBF22-B33A-4A74-A082-B0D36E2C941C}"/>
  <bookViews>
    <workbookView xWindow="-110" yWindow="-110" windowWidth="25820" windowHeight="13900" xr2:uid="{00000000-000D-0000-FFFF-FFFF00000000}"/>
  </bookViews>
  <sheets>
    <sheet name="運動" sheetId="1" r:id="rId1"/>
    <sheet name="按摩基金" sheetId="2" r:id="rId2"/>
    <sheet name="趨勢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1" i="2" l="1"/>
  <c r="C67" i="1"/>
  <c r="N67" i="1"/>
  <c r="R67" i="1" s="1"/>
  <c r="O67" i="1"/>
  <c r="S67" i="1" s="1"/>
  <c r="W67" i="1" s="1"/>
  <c r="Q67" i="1"/>
  <c r="T67" i="1" s="1"/>
  <c r="X67" i="1" s="1"/>
  <c r="C60" i="2"/>
  <c r="C66" i="1"/>
  <c r="N66" i="1"/>
  <c r="R66" i="1" s="1"/>
  <c r="O66" i="1"/>
  <c r="S66" i="1" s="1"/>
  <c r="Q66" i="1"/>
  <c r="T66" i="1" s="1"/>
  <c r="C59" i="2"/>
  <c r="N65" i="1"/>
  <c r="R65" i="1" s="1"/>
  <c r="O65" i="1"/>
  <c r="Q65" i="1"/>
  <c r="T65" i="1" s="1"/>
  <c r="S65" i="1"/>
  <c r="C58" i="2"/>
  <c r="C64" i="1"/>
  <c r="N64" i="1" s="1"/>
  <c r="R64" i="1" s="1"/>
  <c r="O64" i="1"/>
  <c r="S64" i="1" s="1"/>
  <c r="Q64" i="1"/>
  <c r="T64" i="1" s="1"/>
  <c r="C57" i="2"/>
  <c r="C63" i="1"/>
  <c r="N63" i="1" s="1"/>
  <c r="R63" i="1" s="1"/>
  <c r="O63" i="1"/>
  <c r="S63" i="1" s="1"/>
  <c r="Q63" i="1"/>
  <c r="T63" i="1" s="1"/>
  <c r="C56" i="2"/>
  <c r="C62" i="1"/>
  <c r="N62" i="1" s="1"/>
  <c r="R62" i="1" s="1"/>
  <c r="O62" i="1"/>
  <c r="S62" i="1" s="1"/>
  <c r="Q62" i="1"/>
  <c r="T62" i="1" s="1"/>
  <c r="V2" i="1"/>
  <c r="C55" i="2"/>
  <c r="N61" i="1"/>
  <c r="R61" i="1" s="1"/>
  <c r="O61" i="1"/>
  <c r="S61" i="1" s="1"/>
  <c r="Q61" i="1"/>
  <c r="T61" i="1" s="1"/>
  <c r="C54" i="2"/>
  <c r="C60" i="1"/>
  <c r="N60" i="1"/>
  <c r="R60" i="1" s="1"/>
  <c r="O60" i="1"/>
  <c r="S60" i="1" s="1"/>
  <c r="Q60" i="1"/>
  <c r="T60" i="1"/>
  <c r="C53" i="2"/>
  <c r="C59" i="1"/>
  <c r="N59" i="1"/>
  <c r="R59" i="1" s="1"/>
  <c r="O59" i="1"/>
  <c r="S59" i="1" s="1"/>
  <c r="Q59" i="1"/>
  <c r="T59" i="1" s="1"/>
  <c r="C52" i="2"/>
  <c r="N58" i="1"/>
  <c r="R58" i="1" s="1"/>
  <c r="O58" i="1"/>
  <c r="S58" i="1" s="1"/>
  <c r="Q58" i="1"/>
  <c r="T58" i="1" s="1"/>
  <c r="C51" i="2"/>
  <c r="N57" i="1"/>
  <c r="R57" i="1" s="1"/>
  <c r="O57" i="1"/>
  <c r="S57" i="1" s="1"/>
  <c r="Q57" i="1"/>
  <c r="T57" i="1" s="1"/>
  <c r="C50" i="2"/>
  <c r="N56" i="1"/>
  <c r="R56" i="1" s="1"/>
  <c r="O56" i="1"/>
  <c r="S56" i="1" s="1"/>
  <c r="Q56" i="1"/>
  <c r="T56" i="1" s="1"/>
  <c r="C49" i="2"/>
  <c r="N55" i="1"/>
  <c r="R55" i="1" s="1"/>
  <c r="O55" i="1"/>
  <c r="S55" i="1" s="1"/>
  <c r="Q55" i="1"/>
  <c r="T55" i="1" s="1"/>
  <c r="C48" i="2"/>
  <c r="C54" i="1"/>
  <c r="N54" i="1"/>
  <c r="R54" i="1" s="1"/>
  <c r="O54" i="1"/>
  <c r="S54" i="1" s="1"/>
  <c r="Q54" i="1"/>
  <c r="T54" i="1" s="1"/>
  <c r="C47" i="2"/>
  <c r="C53" i="1"/>
  <c r="N53" i="1" s="1"/>
  <c r="R53" i="1" s="1"/>
  <c r="O53" i="1"/>
  <c r="S53" i="1" s="1"/>
  <c r="Q53" i="1"/>
  <c r="T53" i="1" s="1"/>
  <c r="C46" i="2"/>
  <c r="N52" i="1"/>
  <c r="R52" i="1" s="1"/>
  <c r="O52" i="1"/>
  <c r="S52" i="1" s="1"/>
  <c r="Q52" i="1"/>
  <c r="T52" i="1" s="1"/>
  <c r="C45" i="2"/>
  <c r="N51" i="1"/>
  <c r="R51" i="1" s="1"/>
  <c r="O51" i="1"/>
  <c r="S51" i="1" s="1"/>
  <c r="Q51" i="1"/>
  <c r="T51" i="1" s="1"/>
  <c r="N50" i="1"/>
  <c r="C44" i="2"/>
  <c r="R50" i="1"/>
  <c r="O50" i="1"/>
  <c r="S50" i="1" s="1"/>
  <c r="Q50" i="1"/>
  <c r="T50" i="1" s="1"/>
  <c r="C43" i="2"/>
  <c r="N49" i="1"/>
  <c r="O49" i="1"/>
  <c r="Q49" i="1"/>
  <c r="R49" i="1"/>
  <c r="S49" i="1"/>
  <c r="T49" i="1"/>
  <c r="U49" i="1"/>
  <c r="B43" i="2" s="1"/>
  <c r="D43" i="2" s="1"/>
  <c r="C42" i="2"/>
  <c r="N48" i="1"/>
  <c r="R48" i="1" s="1"/>
  <c r="O48" i="1"/>
  <c r="S48" i="1" s="1"/>
  <c r="Q48" i="1"/>
  <c r="T48" i="1" s="1"/>
  <c r="C41" i="2"/>
  <c r="C47" i="1"/>
  <c r="N47" i="1"/>
  <c r="R47" i="1" s="1"/>
  <c r="O47" i="1"/>
  <c r="S47" i="1" s="1"/>
  <c r="Q47" i="1"/>
  <c r="T47" i="1" s="1"/>
  <c r="C40" i="2"/>
  <c r="C46" i="1"/>
  <c r="N46" i="1"/>
  <c r="R46" i="1" s="1"/>
  <c r="O46" i="1"/>
  <c r="Q46" i="1"/>
  <c r="S46" i="1"/>
  <c r="T46" i="1"/>
  <c r="C39" i="2"/>
  <c r="C38" i="2"/>
  <c r="C45" i="1"/>
  <c r="N45" i="1" s="1"/>
  <c r="R45" i="1" s="1"/>
  <c r="O45" i="1"/>
  <c r="Q45" i="1"/>
  <c r="S45" i="1"/>
  <c r="T45" i="1"/>
  <c r="N44" i="1"/>
  <c r="R44" i="1" s="1"/>
  <c r="O44" i="1"/>
  <c r="Q44" i="1"/>
  <c r="S44" i="1"/>
  <c r="T44" i="1"/>
  <c r="C37" i="2"/>
  <c r="C43" i="1"/>
  <c r="N43" i="1" s="1"/>
  <c r="R43" i="1" s="1"/>
  <c r="O43" i="1"/>
  <c r="Q43" i="1"/>
  <c r="T43" i="1" s="1"/>
  <c r="S43" i="1"/>
  <c r="C36" i="2"/>
  <c r="C42" i="1"/>
  <c r="N42" i="1"/>
  <c r="R42" i="1" s="1"/>
  <c r="O42" i="1"/>
  <c r="S42" i="1" s="1"/>
  <c r="Q42" i="1"/>
  <c r="T42" i="1" s="1"/>
  <c r="C35" i="2"/>
  <c r="N41" i="1"/>
  <c r="R41" i="1" s="1"/>
  <c r="O41" i="1"/>
  <c r="S41" i="1" s="1"/>
  <c r="Q41" i="1"/>
  <c r="T41" i="1" s="1"/>
  <c r="C34" i="2"/>
  <c r="Q40" i="1"/>
  <c r="T40" i="1" s="1"/>
  <c r="N40" i="1"/>
  <c r="R40" i="1" s="1"/>
  <c r="O40" i="1"/>
  <c r="S40" i="1"/>
  <c r="C33" i="2"/>
  <c r="C39" i="1"/>
  <c r="N39" i="1"/>
  <c r="R39" i="1" s="1"/>
  <c r="O39" i="1"/>
  <c r="S39" i="1" s="1"/>
  <c r="Q39" i="1"/>
  <c r="T39" i="1" s="1"/>
  <c r="C32" i="2"/>
  <c r="C38" i="1"/>
  <c r="N38" i="1"/>
  <c r="R38" i="1" s="1"/>
  <c r="O38" i="1"/>
  <c r="S38" i="1" s="1"/>
  <c r="Q38" i="1"/>
  <c r="T38" i="1" s="1"/>
  <c r="N37" i="1"/>
  <c r="C31" i="2"/>
  <c r="Q37" i="1"/>
  <c r="T37" i="1"/>
  <c r="O37" i="1"/>
  <c r="S37" i="1" s="1"/>
  <c r="C37" i="1"/>
  <c r="C30" i="2"/>
  <c r="D7" i="1"/>
  <c r="E7" i="1"/>
  <c r="F7" i="1"/>
  <c r="G7" i="1"/>
  <c r="H7" i="1"/>
  <c r="I7" i="1"/>
  <c r="J7" i="1"/>
  <c r="K7" i="1"/>
  <c r="L7" i="1"/>
  <c r="M7" i="1"/>
  <c r="N36" i="1"/>
  <c r="R36" i="1" s="1"/>
  <c r="O36" i="1"/>
  <c r="Q36" i="1"/>
  <c r="T36" i="1" s="1"/>
  <c r="N35" i="1"/>
  <c r="R35" i="1" s="1"/>
  <c r="C29" i="2"/>
  <c r="Q35" i="1"/>
  <c r="T35" i="1" s="1"/>
  <c r="O35" i="1"/>
  <c r="S35" i="1"/>
  <c r="K6" i="1"/>
  <c r="C28" i="2"/>
  <c r="Q34" i="1"/>
  <c r="T34" i="1"/>
  <c r="O34" i="1"/>
  <c r="S34" i="1" s="1"/>
  <c r="N34" i="1"/>
  <c r="R34" i="1" s="1"/>
  <c r="C27" i="2"/>
  <c r="Q33" i="1"/>
  <c r="T33" i="1" s="1"/>
  <c r="O33" i="1"/>
  <c r="S33" i="1" s="1"/>
  <c r="N33" i="1"/>
  <c r="R33" i="1" s="1"/>
  <c r="C26" i="2"/>
  <c r="Q32" i="1"/>
  <c r="T32" i="1"/>
  <c r="O32" i="1"/>
  <c r="S32" i="1"/>
  <c r="N32" i="1"/>
  <c r="R32" i="1" s="1"/>
  <c r="C25" i="2"/>
  <c r="Q31" i="1"/>
  <c r="O31" i="1"/>
  <c r="S31" i="1"/>
  <c r="N31" i="1"/>
  <c r="R31" i="1" s="1"/>
  <c r="C24" i="2"/>
  <c r="Q30" i="1"/>
  <c r="T30" i="1" s="1"/>
  <c r="O30" i="1"/>
  <c r="S30" i="1" s="1"/>
  <c r="N30" i="1"/>
  <c r="R30" i="1" s="1"/>
  <c r="P6" i="1"/>
  <c r="C23" i="2"/>
  <c r="Q29" i="1"/>
  <c r="T29" i="1" s="1"/>
  <c r="O29" i="1"/>
  <c r="S29" i="1" s="1"/>
  <c r="N29" i="1"/>
  <c r="R29" i="1" s="1"/>
  <c r="C22" i="2"/>
  <c r="Q28" i="1"/>
  <c r="T28" i="1" s="1"/>
  <c r="O28" i="1"/>
  <c r="S28" i="1"/>
  <c r="N28" i="1"/>
  <c r="R28" i="1" s="1"/>
  <c r="C21" i="2"/>
  <c r="Q27" i="1"/>
  <c r="T27" i="1" s="1"/>
  <c r="O27" i="1"/>
  <c r="S27" i="1" s="1"/>
  <c r="N27" i="1"/>
  <c r="R27" i="1" s="1"/>
  <c r="C20" i="2"/>
  <c r="Q26" i="1"/>
  <c r="T26" i="1" s="1"/>
  <c r="O26" i="1"/>
  <c r="S26" i="1" s="1"/>
  <c r="N26" i="1"/>
  <c r="R26" i="1" s="1"/>
  <c r="C19" i="2"/>
  <c r="Q25" i="1"/>
  <c r="T25" i="1" s="1"/>
  <c r="O25" i="1"/>
  <c r="S25" i="1"/>
  <c r="N10" i="1"/>
  <c r="R10" i="1" s="1"/>
  <c r="N11" i="1"/>
  <c r="R11" i="1" s="1"/>
  <c r="N12" i="1"/>
  <c r="N13" i="1"/>
  <c r="R13" i="1" s="1"/>
  <c r="N14" i="1"/>
  <c r="N15" i="1"/>
  <c r="R15" i="1" s="1"/>
  <c r="N16" i="1"/>
  <c r="R16" i="1" s="1"/>
  <c r="N17" i="1"/>
  <c r="R17" i="1" s="1"/>
  <c r="N18" i="1"/>
  <c r="R18" i="1" s="1"/>
  <c r="N19" i="1"/>
  <c r="R19" i="1" s="1"/>
  <c r="N20" i="1"/>
  <c r="R20" i="1" s="1"/>
  <c r="N21" i="1"/>
  <c r="R21" i="1" s="1"/>
  <c r="N22" i="1"/>
  <c r="R22" i="1" s="1"/>
  <c r="N23" i="1"/>
  <c r="R23" i="1" s="1"/>
  <c r="N24" i="1"/>
  <c r="R24" i="1" s="1"/>
  <c r="N25" i="1"/>
  <c r="R25" i="1" s="1"/>
  <c r="N9" i="1"/>
  <c r="R9" i="1" s="1"/>
  <c r="E6" i="1"/>
  <c r="C17" i="2"/>
  <c r="C18" i="2"/>
  <c r="Q24" i="1"/>
  <c r="T24" i="1" s="1"/>
  <c r="O24" i="1"/>
  <c r="S24" i="1" s="1"/>
  <c r="Q9" i="1"/>
  <c r="T9" i="1" s="1"/>
  <c r="Q23" i="1"/>
  <c r="T23" i="1" s="1"/>
  <c r="O23" i="1"/>
  <c r="S23" i="1" s="1"/>
  <c r="C16" i="2"/>
  <c r="Q22" i="1"/>
  <c r="T22" i="1" s="1"/>
  <c r="O22" i="1"/>
  <c r="S22" i="1" s="1"/>
  <c r="C15" i="2"/>
  <c r="Q21" i="1"/>
  <c r="T21" i="1" s="1"/>
  <c r="O21" i="1"/>
  <c r="S21" i="1" s="1"/>
  <c r="C14" i="2"/>
  <c r="Q20" i="1"/>
  <c r="T20" i="1" s="1"/>
  <c r="O20" i="1"/>
  <c r="S20" i="1" s="1"/>
  <c r="C13" i="2"/>
  <c r="Q19" i="1"/>
  <c r="O19" i="1"/>
  <c r="S19" i="1" s="1"/>
  <c r="C12" i="2"/>
  <c r="Q18" i="1"/>
  <c r="T18" i="1" s="1"/>
  <c r="O18" i="1"/>
  <c r="S18" i="1" s="1"/>
  <c r="Q10" i="1"/>
  <c r="T10" i="1" s="1"/>
  <c r="Q11" i="1"/>
  <c r="T11" i="1" s="1"/>
  <c r="Q12" i="1"/>
  <c r="T12" i="1" s="1"/>
  <c r="Q13" i="1"/>
  <c r="T13" i="1" s="1"/>
  <c r="Q14" i="1"/>
  <c r="T14" i="1" s="1"/>
  <c r="Q15" i="1"/>
  <c r="T15" i="1" s="1"/>
  <c r="Q16" i="1"/>
  <c r="T16" i="1" s="1"/>
  <c r="Q17" i="1"/>
  <c r="T17" i="1" s="1"/>
  <c r="C11" i="2"/>
  <c r="O17" i="1"/>
  <c r="S17" i="1" s="1"/>
  <c r="D6" i="1"/>
  <c r="F6" i="1"/>
  <c r="G6" i="1"/>
  <c r="H6" i="1"/>
  <c r="I6" i="1"/>
  <c r="J6" i="1"/>
  <c r="L6" i="1"/>
  <c r="M6" i="1"/>
  <c r="C10" i="2"/>
  <c r="O16" i="1"/>
  <c r="S16" i="1" s="1"/>
  <c r="C9" i="2"/>
  <c r="O15" i="1"/>
  <c r="S15" i="1" s="1"/>
  <c r="C7" i="2"/>
  <c r="C6" i="2"/>
  <c r="C5" i="2"/>
  <c r="C4" i="2"/>
  <c r="C3" i="2"/>
  <c r="C8" i="2"/>
  <c r="O14" i="1"/>
  <c r="S14" i="1" s="1"/>
  <c r="O13" i="1"/>
  <c r="S13" i="1" s="1"/>
  <c r="O12" i="1"/>
  <c r="O9" i="1"/>
  <c r="O11" i="1"/>
  <c r="S11" i="1" s="1"/>
  <c r="O10" i="1"/>
  <c r="S10" i="1" s="1"/>
  <c r="U67" i="1" l="1"/>
  <c r="V66" i="1"/>
  <c r="V67" i="1"/>
  <c r="W66" i="1"/>
  <c r="W65" i="1"/>
  <c r="V65" i="1"/>
  <c r="U66" i="1"/>
  <c r="B60" i="2" s="1"/>
  <c r="D60" i="2" s="1"/>
  <c r="E60" i="2" s="1"/>
  <c r="X66" i="1"/>
  <c r="U33" i="1"/>
  <c r="B27" i="2" s="1"/>
  <c r="D27" i="2" s="1"/>
  <c r="U32" i="1"/>
  <c r="B26" i="2" s="1"/>
  <c r="D26" i="2" s="1"/>
  <c r="W64" i="1"/>
  <c r="U65" i="1"/>
  <c r="U64" i="1"/>
  <c r="B58" i="2" s="1"/>
  <c r="D58" i="2" s="1"/>
  <c r="V64" i="1"/>
  <c r="W63" i="1"/>
  <c r="U63" i="1"/>
  <c r="B57" i="2" s="1"/>
  <c r="D57" i="2" s="1"/>
  <c r="V63" i="1"/>
  <c r="W62" i="1"/>
  <c r="V62" i="1"/>
  <c r="V61" i="1"/>
  <c r="U62" i="1"/>
  <c r="B56" i="2" s="1"/>
  <c r="D56" i="2" s="1"/>
  <c r="U61" i="1"/>
  <c r="B55" i="2" s="1"/>
  <c r="D55" i="2" s="1"/>
  <c r="W61" i="1"/>
  <c r="W60" i="1"/>
  <c r="U60" i="1"/>
  <c r="B54" i="2" s="1"/>
  <c r="D54" i="2" s="1"/>
  <c r="V60" i="1"/>
  <c r="W59" i="1"/>
  <c r="V59" i="1"/>
  <c r="W58" i="1"/>
  <c r="U59" i="1"/>
  <c r="U58" i="1"/>
  <c r="B52" i="2" s="1"/>
  <c r="D52" i="2" s="1"/>
  <c r="V58" i="1"/>
  <c r="W57" i="1"/>
  <c r="U57" i="1"/>
  <c r="B51" i="2" s="1"/>
  <c r="D51" i="2" s="1"/>
  <c r="V57" i="1"/>
  <c r="W56" i="1"/>
  <c r="W55" i="1"/>
  <c r="U56" i="1"/>
  <c r="B50" i="2" s="1"/>
  <c r="D50" i="2" s="1"/>
  <c r="V56" i="1"/>
  <c r="U55" i="1"/>
  <c r="B49" i="2" s="1"/>
  <c r="D49" i="2" s="1"/>
  <c r="V55" i="1"/>
  <c r="W54" i="1"/>
  <c r="U54" i="1"/>
  <c r="B48" i="2" s="1"/>
  <c r="D48" i="2" s="1"/>
  <c r="V54" i="1"/>
  <c r="W53" i="1"/>
  <c r="U53" i="1"/>
  <c r="B47" i="2" s="1"/>
  <c r="D47" i="2" s="1"/>
  <c r="V53" i="1"/>
  <c r="W52" i="1"/>
  <c r="U52" i="1"/>
  <c r="B46" i="2" s="1"/>
  <c r="D46" i="2" s="1"/>
  <c r="V52" i="1"/>
  <c r="W51" i="1"/>
  <c r="U51" i="1"/>
  <c r="B45" i="2" s="1"/>
  <c r="D45" i="2" s="1"/>
  <c r="V51" i="1"/>
  <c r="W48" i="1"/>
  <c r="V49" i="1"/>
  <c r="V50" i="1"/>
  <c r="U50" i="1"/>
  <c r="B44" i="2" s="1"/>
  <c r="D44" i="2" s="1"/>
  <c r="W50" i="1"/>
  <c r="W49" i="1"/>
  <c r="U48" i="1"/>
  <c r="B42" i="2" s="1"/>
  <c r="D42" i="2" s="1"/>
  <c r="V48" i="1"/>
  <c r="U47" i="1"/>
  <c r="B41" i="2" s="1"/>
  <c r="D41" i="2" s="1"/>
  <c r="U46" i="1"/>
  <c r="B40" i="2" s="1"/>
  <c r="D40" i="2" s="1"/>
  <c r="U45" i="1"/>
  <c r="B39" i="2" s="1"/>
  <c r="D39" i="2" s="1"/>
  <c r="U44" i="1"/>
  <c r="B38" i="2" s="1"/>
  <c r="D38" i="2" s="1"/>
  <c r="U43" i="1"/>
  <c r="B37" i="2" s="1"/>
  <c r="D37" i="2" s="1"/>
  <c r="U42" i="1"/>
  <c r="B36" i="2" s="1"/>
  <c r="D36" i="2" s="1"/>
  <c r="U29" i="1"/>
  <c r="B23" i="2" s="1"/>
  <c r="D23" i="2" s="1"/>
  <c r="U41" i="1"/>
  <c r="B35" i="2" s="1"/>
  <c r="D35" i="2" s="1"/>
  <c r="U40" i="1"/>
  <c r="B34" i="2" s="1"/>
  <c r="D34" i="2" s="1"/>
  <c r="U39" i="1"/>
  <c r="B33" i="2" s="1"/>
  <c r="D33" i="2" s="1"/>
  <c r="U38" i="1"/>
  <c r="B32" i="2" s="1"/>
  <c r="D32" i="2" s="1"/>
  <c r="N7" i="1"/>
  <c r="R37" i="1"/>
  <c r="C6" i="1"/>
  <c r="C7" i="1"/>
  <c r="S36" i="1"/>
  <c r="O7" i="1"/>
  <c r="U35" i="1"/>
  <c r="B29" i="2" s="1"/>
  <c r="D29" i="2" s="1"/>
  <c r="U30" i="1"/>
  <c r="B24" i="2" s="1"/>
  <c r="D24" i="2" s="1"/>
  <c r="U27" i="1"/>
  <c r="B21" i="2" s="1"/>
  <c r="D21" i="2" s="1"/>
  <c r="U34" i="1"/>
  <c r="B28" i="2" s="1"/>
  <c r="D28" i="2" s="1"/>
  <c r="Q6" i="1"/>
  <c r="T31" i="1"/>
  <c r="U28" i="1"/>
  <c r="U26" i="1"/>
  <c r="U25" i="1"/>
  <c r="U24" i="1"/>
  <c r="U21" i="1"/>
  <c r="U23" i="1"/>
  <c r="U22" i="1"/>
  <c r="U10" i="1"/>
  <c r="U16" i="1"/>
  <c r="U17" i="1"/>
  <c r="U15" i="1"/>
  <c r="U13" i="1"/>
  <c r="U11" i="1"/>
  <c r="U20" i="1"/>
  <c r="T19" i="1"/>
  <c r="U18" i="1"/>
  <c r="N6" i="1"/>
  <c r="S9" i="1"/>
  <c r="O6" i="1"/>
  <c r="R14" i="1"/>
  <c r="R12" i="1"/>
  <c r="S12" i="1"/>
  <c r="Y67" i="1" l="1"/>
  <c r="B61" i="2"/>
  <c r="D61" i="2" s="1"/>
  <c r="E61" i="2" s="1"/>
  <c r="Z67" i="1"/>
  <c r="Z66" i="1"/>
  <c r="Y66" i="1"/>
  <c r="X62" i="1"/>
  <c r="X54" i="1"/>
  <c r="X58" i="1"/>
  <c r="X63" i="1"/>
  <c r="X59" i="1"/>
  <c r="X51" i="1"/>
  <c r="X55" i="1"/>
  <c r="X60" i="1"/>
  <c r="X49" i="1"/>
  <c r="X52" i="1"/>
  <c r="X48" i="1"/>
  <c r="X64" i="1"/>
  <c r="X50" i="1"/>
  <c r="X65" i="1"/>
  <c r="X53" i="1"/>
  <c r="X56" i="1"/>
  <c r="X57" i="1"/>
  <c r="X61" i="1"/>
  <c r="B59" i="2"/>
  <c r="D59" i="2" s="1"/>
  <c r="B53" i="2"/>
  <c r="D53" i="2" s="1"/>
  <c r="W43" i="1"/>
  <c r="W45" i="1"/>
  <c r="W44" i="1"/>
  <c r="W47" i="1"/>
  <c r="W46" i="1"/>
  <c r="W38" i="1"/>
  <c r="W42" i="1"/>
  <c r="W39" i="1"/>
  <c r="W40" i="1"/>
  <c r="W41" i="1"/>
  <c r="W37" i="1"/>
  <c r="W35" i="1"/>
  <c r="V38" i="1"/>
  <c r="V46" i="1"/>
  <c r="V47" i="1"/>
  <c r="V45" i="1"/>
  <c r="V44" i="1"/>
  <c r="V43" i="1"/>
  <c r="V42" i="1"/>
  <c r="X46" i="1"/>
  <c r="X42" i="1"/>
  <c r="X43" i="1"/>
  <c r="X41" i="1"/>
  <c r="X40" i="1"/>
  <c r="X39" i="1"/>
  <c r="X38" i="1"/>
  <c r="X37" i="1"/>
  <c r="T7" i="1"/>
  <c r="X47" i="1"/>
  <c r="X45" i="1"/>
  <c r="X44" i="1"/>
  <c r="V41" i="1"/>
  <c r="V40" i="1"/>
  <c r="V39" i="1"/>
  <c r="V37" i="1"/>
  <c r="U37" i="1"/>
  <c r="B31" i="2" s="1"/>
  <c r="D31" i="2" s="1"/>
  <c r="R7" i="1"/>
  <c r="V35" i="1"/>
  <c r="V36" i="1"/>
  <c r="S7" i="1"/>
  <c r="U36" i="1"/>
  <c r="B30" i="2" s="1"/>
  <c r="D30" i="2" s="1"/>
  <c r="X35" i="1"/>
  <c r="X36" i="1"/>
  <c r="W31" i="1"/>
  <c r="W36" i="1"/>
  <c r="V33" i="1"/>
  <c r="V32" i="1"/>
  <c r="V30" i="1"/>
  <c r="X34" i="1"/>
  <c r="W33" i="1"/>
  <c r="W34" i="1"/>
  <c r="W29" i="1"/>
  <c r="V29" i="1"/>
  <c r="V31" i="1"/>
  <c r="W28" i="1"/>
  <c r="W27" i="1"/>
  <c r="W32" i="1"/>
  <c r="W30" i="1"/>
  <c r="X33" i="1"/>
  <c r="X32" i="1"/>
  <c r="X26" i="1"/>
  <c r="X27" i="1"/>
  <c r="X28" i="1"/>
  <c r="X25" i="1"/>
  <c r="V28" i="1"/>
  <c r="V34" i="1"/>
  <c r="U31" i="1"/>
  <c r="X31" i="1"/>
  <c r="X24" i="1"/>
  <c r="X29" i="1"/>
  <c r="X30" i="1"/>
  <c r="V27" i="1"/>
  <c r="B22" i="2"/>
  <c r="D22" i="2" s="1"/>
  <c r="B20" i="2"/>
  <c r="D20" i="2" s="1"/>
  <c r="B19" i="2"/>
  <c r="D19" i="2" s="1"/>
  <c r="B17" i="2"/>
  <c r="D17" i="2" s="1"/>
  <c r="V25" i="1"/>
  <c r="V26" i="1"/>
  <c r="W24" i="1"/>
  <c r="W26" i="1"/>
  <c r="W25" i="1"/>
  <c r="V24" i="1"/>
  <c r="V15" i="1"/>
  <c r="B18" i="2"/>
  <c r="D18" i="2" s="1"/>
  <c r="B15" i="2"/>
  <c r="D15" i="2" s="1"/>
  <c r="B16" i="2"/>
  <c r="D16" i="2" s="1"/>
  <c r="B4" i="2"/>
  <c r="D4" i="2" s="1"/>
  <c r="B10" i="2"/>
  <c r="D10" i="2" s="1"/>
  <c r="B11" i="2"/>
  <c r="D11" i="2" s="1"/>
  <c r="B9" i="2"/>
  <c r="D9" i="2" s="1"/>
  <c r="B7" i="2"/>
  <c r="D7" i="2" s="1"/>
  <c r="B5" i="2"/>
  <c r="D5" i="2" s="1"/>
  <c r="T6" i="1"/>
  <c r="B12" i="2"/>
  <c r="D12" i="2" s="1"/>
  <c r="S6" i="1"/>
  <c r="U14" i="1"/>
  <c r="V14" i="1"/>
  <c r="R6" i="1"/>
  <c r="V16" i="1"/>
  <c r="V17" i="1"/>
  <c r="V20" i="1"/>
  <c r="V22" i="1"/>
  <c r="V9" i="1"/>
  <c r="V10" i="1"/>
  <c r="V11" i="1"/>
  <c r="V12" i="1"/>
  <c r="V13" i="1"/>
  <c r="V18" i="1"/>
  <c r="V21" i="1"/>
  <c r="X19" i="1"/>
  <c r="X22" i="1"/>
  <c r="X21" i="1"/>
  <c r="X20" i="1"/>
  <c r="X18" i="1"/>
  <c r="X11" i="1"/>
  <c r="X12" i="1"/>
  <c r="X15" i="1"/>
  <c r="X16" i="1"/>
  <c r="X17" i="1"/>
  <c r="X9" i="1"/>
  <c r="X13" i="1"/>
  <c r="X10" i="1"/>
  <c r="X23" i="1"/>
  <c r="X14" i="1"/>
  <c r="U9" i="1"/>
  <c r="W9" i="1"/>
  <c r="W22" i="1"/>
  <c r="W21" i="1"/>
  <c r="W20" i="1"/>
  <c r="W19" i="1"/>
  <c r="W15" i="1"/>
  <c r="W13" i="1"/>
  <c r="W23" i="1"/>
  <c r="W18" i="1"/>
  <c r="W17" i="1"/>
  <c r="W14" i="1"/>
  <c r="W11" i="1"/>
  <c r="W16" i="1"/>
  <c r="W10" i="1"/>
  <c r="V19" i="1"/>
  <c r="V23" i="1"/>
  <c r="U12" i="1"/>
  <c r="W12" i="1"/>
  <c r="B14" i="2"/>
  <c r="D14" i="2" s="1"/>
  <c r="U19" i="1"/>
  <c r="Z62" i="1" l="1"/>
  <c r="Y50" i="1"/>
  <c r="Z51" i="1"/>
  <c r="Y59" i="1"/>
  <c r="Y58" i="1"/>
  <c r="Z65" i="1"/>
  <c r="Z58" i="1"/>
  <c r="Y65" i="1"/>
  <c r="Y48" i="1"/>
  <c r="Y49" i="1"/>
  <c r="Y51" i="1"/>
  <c r="Y55" i="1"/>
  <c r="Z59" i="1"/>
  <c r="Y53" i="1"/>
  <c r="Z53" i="1"/>
  <c r="Z61" i="1"/>
  <c r="Z55" i="1"/>
  <c r="Y62" i="1"/>
  <c r="Z63" i="1"/>
  <c r="Y52" i="1"/>
  <c r="Y63" i="1"/>
  <c r="Z60" i="1"/>
  <c r="Y60" i="1"/>
  <c r="Z54" i="1"/>
  <c r="Y56" i="1"/>
  <c r="Z48" i="1"/>
  <c r="Z56" i="1"/>
  <c r="Z64" i="1"/>
  <c r="Y54" i="1"/>
  <c r="Z49" i="1"/>
  <c r="Z57" i="1"/>
  <c r="Y64" i="1"/>
  <c r="Z52" i="1"/>
  <c r="Y61" i="1"/>
  <c r="Z50" i="1"/>
  <c r="Y57" i="1"/>
  <c r="Z38" i="1"/>
  <c r="Y47" i="1"/>
  <c r="Z47" i="1"/>
  <c r="Y46" i="1"/>
  <c r="Y45" i="1"/>
  <c r="Z45" i="1"/>
  <c r="Z44" i="1"/>
  <c r="Y44" i="1"/>
  <c r="Z43" i="1"/>
  <c r="Y43" i="1"/>
  <c r="Z42" i="1"/>
  <c r="Y42" i="1"/>
  <c r="Z46" i="1"/>
  <c r="Y40" i="1"/>
  <c r="Z39" i="1"/>
  <c r="Y38" i="1"/>
  <c r="Y39" i="1"/>
  <c r="Z41" i="1"/>
  <c r="Y41" i="1"/>
  <c r="Z40" i="1"/>
  <c r="U7" i="1"/>
  <c r="Y37" i="1"/>
  <c r="Z37" i="1"/>
  <c r="Y36" i="1"/>
  <c r="Z36" i="1"/>
  <c r="Z35" i="1"/>
  <c r="Y35" i="1"/>
  <c r="Z33" i="1"/>
  <c r="B25" i="2"/>
  <c r="D25" i="2" s="1"/>
  <c r="Y32" i="1"/>
  <c r="Z32" i="1"/>
  <c r="Y33" i="1"/>
  <c r="Y34" i="1"/>
  <c r="Z34" i="1"/>
  <c r="Z19" i="1"/>
  <c r="Z31" i="1"/>
  <c r="Y31" i="1"/>
  <c r="Z12" i="1"/>
  <c r="Y30" i="1"/>
  <c r="Z30" i="1"/>
  <c r="Z29" i="1"/>
  <c r="Y29" i="1"/>
  <c r="Z14" i="1"/>
  <c r="Z28" i="1"/>
  <c r="Z26" i="1"/>
  <c r="Z25" i="1"/>
  <c r="Z23" i="1"/>
  <c r="Y28" i="1"/>
  <c r="Y27" i="1"/>
  <c r="Z9" i="1"/>
  <c r="Z27" i="1"/>
  <c r="Z10" i="1"/>
  <c r="Z24" i="1"/>
  <c r="Z21" i="1"/>
  <c r="Z22" i="1"/>
  <c r="Z16" i="1"/>
  <c r="Z17" i="1"/>
  <c r="Z15" i="1"/>
  <c r="Z13" i="1"/>
  <c r="Z20" i="1"/>
  <c r="Z18" i="1"/>
  <c r="Z11" i="1"/>
  <c r="Y25" i="1"/>
  <c r="Y26" i="1"/>
  <c r="Y24" i="1"/>
  <c r="B3" i="2"/>
  <c r="D3" i="2" s="1"/>
  <c r="E3" i="2" s="1"/>
  <c r="E4" i="2" s="1"/>
  <c r="E5" i="2" s="1"/>
  <c r="U6" i="1"/>
  <c r="Y21" i="1"/>
  <c r="Y22" i="1"/>
  <c r="Y23" i="1"/>
  <c r="Y20" i="1"/>
  <c r="Y18" i="1"/>
  <c r="B13" i="2"/>
  <c r="D13" i="2" s="1"/>
  <c r="Y19" i="1"/>
  <c r="Y10" i="1"/>
  <c r="Y11" i="1"/>
  <c r="B8" i="2"/>
  <c r="D8" i="2" s="1"/>
  <c r="Y17" i="1"/>
  <c r="Y13" i="1"/>
  <c r="Y9" i="1"/>
  <c r="B6" i="2"/>
  <c r="D6" i="2" s="1"/>
  <c r="Y14" i="1"/>
  <c r="Y15" i="1"/>
  <c r="Y12" i="1"/>
  <c r="Y16" i="1"/>
  <c r="H1" i="2" l="1"/>
  <c r="E6" i="2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E18" i="2" s="1"/>
  <c r="E19" i="2" s="1"/>
  <c r="E20" i="2" s="1"/>
  <c r="E21" i="2" s="1"/>
  <c r="E22" i="2" s="1"/>
  <c r="E23" i="2" s="1"/>
  <c r="E24" i="2" s="1"/>
  <c r="E25" i="2" s="1"/>
  <c r="E26" i="2" s="1"/>
  <c r="E27" i="2" s="1"/>
  <c r="E28" i="2" s="1"/>
  <c r="E29" i="2" s="1"/>
  <c r="E30" i="2" s="1"/>
  <c r="E31" i="2" s="1"/>
  <c r="E32" i="2" s="1"/>
  <c r="E33" i="2" s="1"/>
  <c r="E34" i="2" s="1"/>
  <c r="E35" i="2" s="1"/>
  <c r="E36" i="2" s="1"/>
  <c r="E37" i="2" s="1"/>
  <c r="E38" i="2" s="1"/>
  <c r="E39" i="2" s="1"/>
  <c r="E40" i="2" s="1"/>
  <c r="E41" i="2" s="1"/>
  <c r="E42" i="2" s="1"/>
  <c r="E43" i="2" s="1"/>
  <c r="E44" i="2" s="1"/>
  <c r="E45" i="2" s="1"/>
  <c r="E46" i="2" s="1"/>
  <c r="E47" i="2" s="1"/>
  <c r="E48" i="2" s="1"/>
  <c r="E49" i="2" s="1"/>
  <c r="E50" i="2" s="1"/>
  <c r="E51" i="2" s="1"/>
  <c r="E52" i="2" s="1"/>
  <c r="E53" i="2" s="1"/>
  <c r="E54" i="2" s="1"/>
  <c r="E55" i="2" s="1"/>
  <c r="E56" i="2" s="1"/>
  <c r="E57" i="2" s="1"/>
  <c r="E58" i="2" s="1"/>
  <c r="E59" i="2" s="1"/>
</calcChain>
</file>

<file path=xl/sharedStrings.xml><?xml version="1.0" encoding="utf-8"?>
<sst xmlns="http://schemas.openxmlformats.org/spreadsheetml/2006/main" count="80" uniqueCount="45">
  <si>
    <t>周</t>
    <phoneticPr fontId="1" type="noConversion"/>
  </si>
  <si>
    <t>日期</t>
    <phoneticPr fontId="1" type="noConversion"/>
  </si>
  <si>
    <t>運動項目</t>
    <phoneticPr fontId="1" type="noConversion"/>
  </si>
  <si>
    <t>重訓台</t>
    <phoneticPr fontId="1" type="noConversion"/>
  </si>
  <si>
    <t>力量</t>
    <phoneticPr fontId="1" type="noConversion"/>
  </si>
  <si>
    <t>有氧</t>
    <phoneticPr fontId="1" type="noConversion"/>
  </si>
  <si>
    <t>跑步機</t>
    <phoneticPr fontId="1" type="noConversion"/>
  </si>
  <si>
    <t>跑步機負重</t>
    <phoneticPr fontId="1" type="noConversion"/>
  </si>
  <si>
    <t>伏地起身</t>
    <phoneticPr fontId="1" type="noConversion"/>
  </si>
  <si>
    <t>弓步蹲</t>
    <phoneticPr fontId="1" type="noConversion"/>
  </si>
  <si>
    <t>開合跳</t>
    <phoneticPr fontId="1" type="noConversion"/>
  </si>
  <si>
    <t>啞鈴深蹲</t>
    <phoneticPr fontId="1" type="noConversion"/>
  </si>
  <si>
    <t>重訓器材</t>
    <phoneticPr fontId="1" type="noConversion"/>
  </si>
  <si>
    <t>KG</t>
    <phoneticPr fontId="1" type="noConversion"/>
  </si>
  <si>
    <t>下</t>
    <phoneticPr fontId="1" type="noConversion"/>
  </si>
  <si>
    <t>秒</t>
    <phoneticPr fontId="1" type="noConversion"/>
  </si>
  <si>
    <t>KM</t>
    <phoneticPr fontId="1" type="noConversion"/>
  </si>
  <si>
    <t>單位</t>
    <phoneticPr fontId="1" type="noConversion"/>
  </si>
  <si>
    <t>每單位訓練量(換算KG)</t>
    <phoneticPr fontId="1" type="noConversion"/>
  </si>
  <si>
    <t>訓練量</t>
    <phoneticPr fontId="1" type="noConversion"/>
  </si>
  <si>
    <t>總評分</t>
    <phoneticPr fontId="1" type="noConversion"/>
  </si>
  <si>
    <t>生涯總和</t>
    <phoneticPr fontId="1" type="noConversion"/>
  </si>
  <si>
    <t>週數</t>
    <phoneticPr fontId="1" type="noConversion"/>
  </si>
  <si>
    <t>兌換比值</t>
    <phoneticPr fontId="1" type="noConversion"/>
  </si>
  <si>
    <t>新增基金</t>
    <phoneticPr fontId="1" type="noConversion"/>
  </si>
  <si>
    <t>基金現額</t>
    <phoneticPr fontId="1" type="noConversion"/>
  </si>
  <si>
    <t>基金使用</t>
    <phoneticPr fontId="1" type="noConversion"/>
  </si>
  <si>
    <t>運動基金總計</t>
    <phoneticPr fontId="1" type="noConversion"/>
  </si>
  <si>
    <t>兌換比值</t>
    <phoneticPr fontId="1" type="noConversion"/>
  </si>
  <si>
    <t>前幾%</t>
    <phoneticPr fontId="1" type="noConversion"/>
  </si>
  <si>
    <t>每日活動量</t>
    <phoneticPr fontId="1" type="noConversion"/>
  </si>
  <si>
    <t>步數</t>
    <phoneticPr fontId="1" type="noConversion"/>
  </si>
  <si>
    <t>平均</t>
    <phoneticPr fontId="1" type="noConversion"/>
  </si>
  <si>
    <t>總步數</t>
    <phoneticPr fontId="1" type="noConversion"/>
  </si>
  <si>
    <t>活動量</t>
    <phoneticPr fontId="1" type="noConversion"/>
  </si>
  <si>
    <t>平均</t>
  </si>
  <si>
    <t>總步數</t>
  </si>
  <si>
    <t>總排名</t>
    <phoneticPr fontId="1" type="noConversion"/>
  </si>
  <si>
    <t>力量排名</t>
    <phoneticPr fontId="1" type="noConversion"/>
  </si>
  <si>
    <t>有氧排名</t>
    <phoneticPr fontId="1" type="noConversion"/>
  </si>
  <si>
    <t>活動量排名</t>
    <phoneticPr fontId="1" type="noConversion"/>
  </si>
  <si>
    <t>反向划船</t>
    <phoneticPr fontId="1" type="noConversion"/>
  </si>
  <si>
    <t>超人式</t>
    <phoneticPr fontId="1" type="noConversion"/>
  </si>
  <si>
    <t>捲腹</t>
    <phoneticPr fontId="1" type="noConversion"/>
  </si>
  <si>
    <t>週數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</si>
</sst>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0_ "/>
  </numFmts>
  <fonts count="10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YaHei"/>
      <family val="2"/>
      <charset val="134"/>
    </font>
    <font>
      <sz val="14"/>
      <color rgb="FFFF0000"/>
      <name val="Microsoft YaHei"/>
      <family val="2"/>
      <charset val="134"/>
    </font>
    <font>
      <sz val="11"/>
      <color theme="1"/>
      <name val="標楷體"/>
      <family val="4"/>
      <charset val="136"/>
    </font>
    <font>
      <sz val="14"/>
      <color rgb="FF0070C0"/>
      <name val="Microsoft YaHei"/>
      <family val="2"/>
      <charset val="134"/>
    </font>
    <font>
      <sz val="12"/>
      <name val="Microsoft YaHei"/>
      <family val="2"/>
      <charset val="134"/>
    </font>
    <font>
      <sz val="11"/>
      <name val="標楷體"/>
      <family val="4"/>
      <charset val="136"/>
    </font>
    <font>
      <sz val="14"/>
      <name val="Microsoft YaHei"/>
      <family val="2"/>
      <charset val="134"/>
    </font>
    <font>
      <sz val="11"/>
      <name val="新細明體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0" xfId="0" applyFill="1"/>
    <xf numFmtId="0" fontId="0" fillId="4" borderId="1" xfId="0" applyFill="1" applyBorder="1" applyAlignment="1">
      <alignment horizontal="center" vertical="center"/>
    </xf>
    <xf numFmtId="0" fontId="0" fillId="4" borderId="0" xfId="0" applyFill="1"/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7" borderId="1" xfId="0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4" borderId="5" xfId="0" applyFill="1" applyBorder="1" applyAlignment="1">
      <alignment horizontal="center" vertical="center"/>
    </xf>
    <xf numFmtId="176" fontId="0" fillId="4" borderId="2" xfId="0" applyNumberForma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8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horizontal="center" vertical="center"/>
    </xf>
    <xf numFmtId="0" fontId="2" fillId="8" borderId="0" xfId="0" applyFont="1" applyFill="1"/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0" fillId="10" borderId="0" xfId="0" applyFill="1"/>
    <xf numFmtId="0" fontId="6" fillId="10" borderId="0" xfId="0" applyFont="1" applyFill="1"/>
    <xf numFmtId="0" fontId="0" fillId="11" borderId="0" xfId="0" applyFill="1"/>
    <xf numFmtId="0" fontId="0" fillId="11" borderId="0" xfId="0" applyFill="1" applyAlignment="1">
      <alignment horizontal="center" vertical="center"/>
    </xf>
    <xf numFmtId="176" fontId="0" fillId="4" borderId="5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76" fontId="0" fillId="5" borderId="1" xfId="0" applyNumberFormat="1" applyFill="1" applyBorder="1" applyAlignment="1">
      <alignment horizontal="center" vertical="center"/>
    </xf>
    <xf numFmtId="176" fontId="0" fillId="4" borderId="1" xfId="0" applyNumberFormat="1" applyFill="1" applyBorder="1" applyAlignment="1">
      <alignment horizontal="center" vertical="center"/>
    </xf>
    <xf numFmtId="176" fontId="0" fillId="4" borderId="0" xfId="0" applyNumberFormat="1" applyFill="1"/>
    <xf numFmtId="0" fontId="0" fillId="11" borderId="0" xfId="0" applyFill="1" applyAlignment="1">
      <alignment horizontal="center"/>
    </xf>
    <xf numFmtId="0" fontId="5" fillId="9" borderId="3" xfId="0" applyFont="1" applyFill="1" applyBorder="1"/>
    <xf numFmtId="0" fontId="4" fillId="4" borderId="15" xfId="0" applyFont="1" applyFill="1" applyBorder="1" applyAlignment="1">
      <alignment horizontal="center" vertical="center"/>
    </xf>
    <xf numFmtId="0" fontId="2" fillId="0" borderId="15" xfId="0" applyFont="1" applyBorder="1"/>
    <xf numFmtId="0" fontId="7" fillId="0" borderId="0" xfId="0" applyFont="1" applyAlignment="1">
      <alignment horizontal="center" vertical="center"/>
    </xf>
    <xf numFmtId="0" fontId="8" fillId="0" borderId="0" xfId="0" applyFont="1"/>
    <xf numFmtId="0" fontId="6" fillId="0" borderId="0" xfId="0" applyFont="1"/>
    <xf numFmtId="0" fontId="9" fillId="0" borderId="0" xfId="0" applyFont="1"/>
    <xf numFmtId="177" fontId="0" fillId="5" borderId="1" xfId="0" applyNumberForma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5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0" fillId="11" borderId="7" xfId="0" applyFill="1" applyBorder="1" applyAlignment="1">
      <alignment horizontal="center" vertical="center" wrapText="1"/>
    </xf>
    <xf numFmtId="0" fontId="0" fillId="11" borderId="8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</cellXfs>
  <cellStyles count="1">
    <cellStyle name="一般" xfId="0" builtinId="0"/>
  </cellStyles>
  <dxfs count="5">
    <dxf>
      <font>
        <b/>
        <i/>
        <color rgb="FF00FF00"/>
      </font>
      <fill>
        <patternFill patternType="solid">
          <fgColor auto="1"/>
          <bgColor theme="3"/>
        </patternFill>
      </fill>
      <border>
        <vertical/>
        <horizontal/>
      </border>
    </dxf>
    <dxf>
      <font>
        <b/>
        <i/>
        <color rgb="FFFF2929"/>
      </font>
      <fill>
        <patternFill patternType="solid">
          <fgColor auto="1"/>
          <bgColor theme="3"/>
        </patternFill>
      </fill>
      <border>
        <vertical/>
        <horizontal/>
      </border>
    </dxf>
    <dxf>
      <font>
        <b/>
        <i/>
        <color theme="4" tint="0.39994506668294322"/>
      </font>
      <fill>
        <patternFill patternType="solid">
          <fgColor auto="1"/>
          <bgColor theme="3" tint="-0.499984740745262"/>
        </patternFill>
      </fill>
      <border>
        <vertical/>
        <horizontal/>
      </border>
    </dxf>
    <dxf>
      <font>
        <b/>
        <i/>
        <color rgb="FFFFFF00"/>
      </font>
      <fill>
        <patternFill patternType="solid">
          <fgColor auto="1"/>
          <bgColor theme="1"/>
        </patternFill>
      </fill>
      <border>
        <vertical/>
        <horizontal/>
      </border>
    </dxf>
    <dxf>
      <font>
        <b/>
        <i/>
        <color theme="0"/>
      </font>
      <fill>
        <patternFill patternType="solid">
          <fgColor auto="1"/>
          <bgColor theme="1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FF2929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TW" altLang="en-US"/>
              <a:t>趨勢圖</a:t>
            </a:r>
            <a:endParaRPr lang="zh-TW"/>
          </a:p>
        </c:rich>
      </c:tx>
      <c:layout>
        <c:manualLayout>
          <c:xMode val="edge"/>
          <c:yMode val="edge"/>
          <c:x val="0.43047222222222215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0180314960629921"/>
          <c:y val="0.17694444444444443"/>
          <c:w val="0.86486351706036746"/>
          <c:h val="0.609752843394575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運動!$R$8</c:f>
              <c:strCache>
                <c:ptCount val="1"/>
                <c:pt idx="0">
                  <c:v>力量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運動!$R$9:$R$100</c:f>
              <c:numCache>
                <c:formatCode>General</c:formatCode>
                <c:ptCount val="92"/>
                <c:pt idx="0">
                  <c:v>6085</c:v>
                </c:pt>
                <c:pt idx="1">
                  <c:v>4840</c:v>
                </c:pt>
                <c:pt idx="2">
                  <c:v>9470</c:v>
                </c:pt>
                <c:pt idx="3">
                  <c:v>9695</c:v>
                </c:pt>
                <c:pt idx="4">
                  <c:v>8170</c:v>
                </c:pt>
                <c:pt idx="5">
                  <c:v>9360</c:v>
                </c:pt>
                <c:pt idx="6">
                  <c:v>6940</c:v>
                </c:pt>
                <c:pt idx="7">
                  <c:v>7015</c:v>
                </c:pt>
                <c:pt idx="8">
                  <c:v>8070</c:v>
                </c:pt>
                <c:pt idx="9">
                  <c:v>4365</c:v>
                </c:pt>
                <c:pt idx="10">
                  <c:v>8530</c:v>
                </c:pt>
                <c:pt idx="11">
                  <c:v>6805</c:v>
                </c:pt>
                <c:pt idx="12">
                  <c:v>10350</c:v>
                </c:pt>
                <c:pt idx="13">
                  <c:v>7970</c:v>
                </c:pt>
                <c:pt idx="14">
                  <c:v>7550</c:v>
                </c:pt>
                <c:pt idx="15">
                  <c:v>7360</c:v>
                </c:pt>
                <c:pt idx="16">
                  <c:v>10625</c:v>
                </c:pt>
                <c:pt idx="17">
                  <c:v>10790</c:v>
                </c:pt>
                <c:pt idx="18">
                  <c:v>8720</c:v>
                </c:pt>
                <c:pt idx="19">
                  <c:v>9840</c:v>
                </c:pt>
                <c:pt idx="20">
                  <c:v>6075</c:v>
                </c:pt>
                <c:pt idx="21">
                  <c:v>3155</c:v>
                </c:pt>
                <c:pt idx="22">
                  <c:v>9295</c:v>
                </c:pt>
                <c:pt idx="23">
                  <c:v>6360</c:v>
                </c:pt>
                <c:pt idx="24">
                  <c:v>4941</c:v>
                </c:pt>
                <c:pt idx="25">
                  <c:v>6465</c:v>
                </c:pt>
                <c:pt idx="26">
                  <c:v>3568</c:v>
                </c:pt>
                <c:pt idx="27">
                  <c:v>10345</c:v>
                </c:pt>
                <c:pt idx="28">
                  <c:v>7554</c:v>
                </c:pt>
                <c:pt idx="29">
                  <c:v>5500</c:v>
                </c:pt>
                <c:pt idx="30">
                  <c:v>8597</c:v>
                </c:pt>
                <c:pt idx="31">
                  <c:v>3040</c:v>
                </c:pt>
                <c:pt idx="32">
                  <c:v>7910</c:v>
                </c:pt>
                <c:pt idx="33">
                  <c:v>5190</c:v>
                </c:pt>
                <c:pt idx="34">
                  <c:v>8580</c:v>
                </c:pt>
                <c:pt idx="35">
                  <c:v>3825</c:v>
                </c:pt>
                <c:pt idx="36">
                  <c:v>9419</c:v>
                </c:pt>
                <c:pt idx="37">
                  <c:v>4385</c:v>
                </c:pt>
                <c:pt idx="38">
                  <c:v>9060</c:v>
                </c:pt>
                <c:pt idx="39">
                  <c:v>2100</c:v>
                </c:pt>
                <c:pt idx="40">
                  <c:v>3795</c:v>
                </c:pt>
                <c:pt idx="41">
                  <c:v>5011</c:v>
                </c:pt>
                <c:pt idx="42">
                  <c:v>3100</c:v>
                </c:pt>
                <c:pt idx="43">
                  <c:v>8000</c:v>
                </c:pt>
                <c:pt idx="44">
                  <c:v>3915</c:v>
                </c:pt>
                <c:pt idx="45">
                  <c:v>6803</c:v>
                </c:pt>
                <c:pt idx="46">
                  <c:v>4720</c:v>
                </c:pt>
                <c:pt idx="47">
                  <c:v>5474</c:v>
                </c:pt>
                <c:pt idx="48">
                  <c:v>3345</c:v>
                </c:pt>
                <c:pt idx="49">
                  <c:v>5215</c:v>
                </c:pt>
                <c:pt idx="50">
                  <c:v>7648</c:v>
                </c:pt>
                <c:pt idx="51">
                  <c:v>7663</c:v>
                </c:pt>
                <c:pt idx="52">
                  <c:v>4455</c:v>
                </c:pt>
                <c:pt idx="53">
                  <c:v>5290</c:v>
                </c:pt>
                <c:pt idx="54">
                  <c:v>9690</c:v>
                </c:pt>
                <c:pt idx="55">
                  <c:v>7222</c:v>
                </c:pt>
                <c:pt idx="56">
                  <c:v>11978</c:v>
                </c:pt>
                <c:pt idx="57">
                  <c:v>7297</c:v>
                </c:pt>
                <c:pt idx="58">
                  <c:v>5200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93-4ED9-B6D2-8C79CA47B935}"/>
            </c:ext>
          </c:extLst>
        </c:ser>
        <c:ser>
          <c:idx val="1"/>
          <c:order val="1"/>
          <c:tx>
            <c:strRef>
              <c:f>運動!$S$8</c:f>
              <c:strCache>
                <c:ptCount val="1"/>
                <c:pt idx="0">
                  <c:v>有氧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delete val="1"/>
          </c:dLbls>
          <c:val>
            <c:numRef>
              <c:f>運動!$S$9:$S$100</c:f>
              <c:numCache>
                <c:formatCode>General</c:formatCode>
                <c:ptCount val="92"/>
                <c:pt idx="0">
                  <c:v>7175.0000000000009</c:v>
                </c:pt>
                <c:pt idx="1">
                  <c:v>7109.9999999999991</c:v>
                </c:pt>
                <c:pt idx="2">
                  <c:v>5150</c:v>
                </c:pt>
                <c:pt idx="3">
                  <c:v>7545</c:v>
                </c:pt>
                <c:pt idx="4">
                  <c:v>7100</c:v>
                </c:pt>
                <c:pt idx="5">
                  <c:v>2200</c:v>
                </c:pt>
                <c:pt idx="6">
                  <c:v>6650</c:v>
                </c:pt>
                <c:pt idx="7">
                  <c:v>5500</c:v>
                </c:pt>
                <c:pt idx="8">
                  <c:v>5750</c:v>
                </c:pt>
                <c:pt idx="9">
                  <c:v>3000</c:v>
                </c:pt>
                <c:pt idx="10">
                  <c:v>5539.9999999999991</c:v>
                </c:pt>
                <c:pt idx="11">
                  <c:v>5175</c:v>
                </c:pt>
                <c:pt idx="12">
                  <c:v>5550</c:v>
                </c:pt>
                <c:pt idx="13">
                  <c:v>4980</c:v>
                </c:pt>
                <c:pt idx="14">
                  <c:v>3935</c:v>
                </c:pt>
                <c:pt idx="15">
                  <c:v>5915</c:v>
                </c:pt>
                <c:pt idx="16" formatCode="0_ ">
                  <c:v>5980</c:v>
                </c:pt>
                <c:pt idx="17">
                  <c:v>8100</c:v>
                </c:pt>
                <c:pt idx="18">
                  <c:v>8250</c:v>
                </c:pt>
                <c:pt idx="19">
                  <c:v>8210</c:v>
                </c:pt>
                <c:pt idx="20">
                  <c:v>10085</c:v>
                </c:pt>
                <c:pt idx="21">
                  <c:v>0</c:v>
                </c:pt>
                <c:pt idx="22">
                  <c:v>4460</c:v>
                </c:pt>
                <c:pt idx="23">
                  <c:v>4689.9999999999991</c:v>
                </c:pt>
                <c:pt idx="24">
                  <c:v>4500</c:v>
                </c:pt>
                <c:pt idx="25">
                  <c:v>3245</c:v>
                </c:pt>
                <c:pt idx="26">
                  <c:v>6230</c:v>
                </c:pt>
                <c:pt idx="27">
                  <c:v>3920</c:v>
                </c:pt>
                <c:pt idx="28">
                  <c:v>5560.0000000000009</c:v>
                </c:pt>
                <c:pt idx="29">
                  <c:v>5140.0000000000009</c:v>
                </c:pt>
                <c:pt idx="30">
                  <c:v>5015.0000000000009</c:v>
                </c:pt>
                <c:pt idx="31">
                  <c:v>9320</c:v>
                </c:pt>
                <c:pt idx="32">
                  <c:v>7770</c:v>
                </c:pt>
                <c:pt idx="33">
                  <c:v>6025</c:v>
                </c:pt>
                <c:pt idx="34">
                  <c:v>5290</c:v>
                </c:pt>
                <c:pt idx="35">
                  <c:v>2530</c:v>
                </c:pt>
                <c:pt idx="36">
                  <c:v>2650.0000000000005</c:v>
                </c:pt>
                <c:pt idx="37">
                  <c:v>5505.0000000000009</c:v>
                </c:pt>
                <c:pt idx="38">
                  <c:v>7154.9999999999991</c:v>
                </c:pt>
                <c:pt idx="39">
                  <c:v>5455</c:v>
                </c:pt>
                <c:pt idx="40">
                  <c:v>6550.0000000000009</c:v>
                </c:pt>
                <c:pt idx="41">
                  <c:v>9585</c:v>
                </c:pt>
                <c:pt idx="42">
                  <c:v>1960</c:v>
                </c:pt>
                <c:pt idx="43">
                  <c:v>9500</c:v>
                </c:pt>
                <c:pt idx="44">
                  <c:v>9254.9999999999982</c:v>
                </c:pt>
                <c:pt idx="45">
                  <c:v>10625</c:v>
                </c:pt>
                <c:pt idx="46">
                  <c:v>9835</c:v>
                </c:pt>
                <c:pt idx="47">
                  <c:v>12785</c:v>
                </c:pt>
                <c:pt idx="48">
                  <c:v>5630</c:v>
                </c:pt>
                <c:pt idx="49">
                  <c:v>10740</c:v>
                </c:pt>
                <c:pt idx="50">
                  <c:v>10270</c:v>
                </c:pt>
                <c:pt idx="51">
                  <c:v>7720.0000000000009</c:v>
                </c:pt>
                <c:pt idx="52">
                  <c:v>15545</c:v>
                </c:pt>
                <c:pt idx="53">
                  <c:v>10690.000000000002</c:v>
                </c:pt>
                <c:pt idx="54">
                  <c:v>15935</c:v>
                </c:pt>
                <c:pt idx="55">
                  <c:v>9520</c:v>
                </c:pt>
                <c:pt idx="56">
                  <c:v>12745.000000000002</c:v>
                </c:pt>
                <c:pt idx="57">
                  <c:v>9915</c:v>
                </c:pt>
                <c:pt idx="58">
                  <c:v>9780.0000000000018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93-4ED9-B6D2-8C79CA47B93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46953696"/>
        <c:axId val="646956096"/>
      </c:barChart>
      <c:lineChart>
        <c:grouping val="standard"/>
        <c:varyColors val="0"/>
        <c:ser>
          <c:idx val="2"/>
          <c:order val="2"/>
          <c:tx>
            <c:strRef>
              <c:f>運動!$T$8</c:f>
              <c:strCache>
                <c:ptCount val="1"/>
                <c:pt idx="0">
                  <c:v>活動量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運動!$T$9:$T$100</c:f>
              <c:numCache>
                <c:formatCode>0_ </c:formatCode>
                <c:ptCount val="92"/>
                <c:pt idx="0">
                  <c:v>5964</c:v>
                </c:pt>
                <c:pt idx="1">
                  <c:v>4411.4000000000005</c:v>
                </c:pt>
                <c:pt idx="2">
                  <c:v>8026.2000000000007</c:v>
                </c:pt>
                <c:pt idx="3">
                  <c:v>3680.6000000000004</c:v>
                </c:pt>
                <c:pt idx="4">
                  <c:v>3381</c:v>
                </c:pt>
                <c:pt idx="5">
                  <c:v>4723.6000000000004</c:v>
                </c:pt>
                <c:pt idx="6">
                  <c:v>5629.4000000000005</c:v>
                </c:pt>
                <c:pt idx="7">
                  <c:v>3444</c:v>
                </c:pt>
                <c:pt idx="8">
                  <c:v>3621.8</c:v>
                </c:pt>
                <c:pt idx="9">
                  <c:v>4803.4000000000005</c:v>
                </c:pt>
                <c:pt idx="10">
                  <c:v>5552.4000000000005</c:v>
                </c:pt>
                <c:pt idx="11">
                  <c:v>3880.8</c:v>
                </c:pt>
                <c:pt idx="12">
                  <c:v>6490.4000000000005</c:v>
                </c:pt>
                <c:pt idx="13">
                  <c:v>5168.8</c:v>
                </c:pt>
                <c:pt idx="14">
                  <c:v>8534.4</c:v>
                </c:pt>
                <c:pt idx="15">
                  <c:v>7849.8</c:v>
                </c:pt>
                <c:pt idx="16">
                  <c:v>7309.4000000000005</c:v>
                </c:pt>
                <c:pt idx="17">
                  <c:v>6137.6</c:v>
                </c:pt>
                <c:pt idx="18">
                  <c:v>5059.6000000000004</c:v>
                </c:pt>
                <c:pt idx="19">
                  <c:v>9126.6</c:v>
                </c:pt>
                <c:pt idx="20">
                  <c:v>7666.4000000000005</c:v>
                </c:pt>
                <c:pt idx="21">
                  <c:v>13487.6</c:v>
                </c:pt>
                <c:pt idx="22">
                  <c:v>8883</c:v>
                </c:pt>
                <c:pt idx="23">
                  <c:v>6724.2000000000007</c:v>
                </c:pt>
                <c:pt idx="24">
                  <c:v>6307</c:v>
                </c:pt>
                <c:pt idx="25">
                  <c:v>8512</c:v>
                </c:pt>
                <c:pt idx="26">
                  <c:v>5087.6000000000004</c:v>
                </c:pt>
                <c:pt idx="27">
                  <c:v>5198.2000000000007</c:v>
                </c:pt>
                <c:pt idx="28">
                  <c:v>6333.6</c:v>
                </c:pt>
                <c:pt idx="29">
                  <c:v>7620.2000000000007</c:v>
                </c:pt>
                <c:pt idx="30">
                  <c:v>3878</c:v>
                </c:pt>
                <c:pt idx="31">
                  <c:v>4972.8</c:v>
                </c:pt>
                <c:pt idx="32">
                  <c:v>9914.8000000000011</c:v>
                </c:pt>
                <c:pt idx="33">
                  <c:v>5924.8</c:v>
                </c:pt>
                <c:pt idx="34">
                  <c:v>10392.200000000001</c:v>
                </c:pt>
                <c:pt idx="35">
                  <c:v>6269.2000000000007</c:v>
                </c:pt>
                <c:pt idx="36">
                  <c:v>6375.6</c:v>
                </c:pt>
                <c:pt idx="37">
                  <c:v>6056.4000000000005</c:v>
                </c:pt>
                <c:pt idx="38">
                  <c:v>4664.8</c:v>
                </c:pt>
                <c:pt idx="39">
                  <c:v>7180.6</c:v>
                </c:pt>
                <c:pt idx="40">
                  <c:v>6109.6</c:v>
                </c:pt>
                <c:pt idx="41">
                  <c:v>7294</c:v>
                </c:pt>
                <c:pt idx="42">
                  <c:v>6108.2000000000007</c:v>
                </c:pt>
                <c:pt idx="43">
                  <c:v>3960.6000000000004</c:v>
                </c:pt>
                <c:pt idx="44">
                  <c:v>4445</c:v>
                </c:pt>
                <c:pt idx="45">
                  <c:v>3997</c:v>
                </c:pt>
                <c:pt idx="46">
                  <c:v>3927</c:v>
                </c:pt>
                <c:pt idx="47">
                  <c:v>5161.8</c:v>
                </c:pt>
                <c:pt idx="48">
                  <c:v>3813.6000000000004</c:v>
                </c:pt>
                <c:pt idx="49">
                  <c:v>5551</c:v>
                </c:pt>
                <c:pt idx="50">
                  <c:v>5780.6</c:v>
                </c:pt>
                <c:pt idx="51">
                  <c:v>3368.4</c:v>
                </c:pt>
                <c:pt idx="52">
                  <c:v>3773</c:v>
                </c:pt>
                <c:pt idx="53">
                  <c:v>4594.8</c:v>
                </c:pt>
                <c:pt idx="54">
                  <c:v>6014.4000000000005</c:v>
                </c:pt>
                <c:pt idx="55">
                  <c:v>6623.4000000000005</c:v>
                </c:pt>
                <c:pt idx="56">
                  <c:v>5867.4000000000005</c:v>
                </c:pt>
                <c:pt idx="57">
                  <c:v>5770.8</c:v>
                </c:pt>
                <c:pt idx="58">
                  <c:v>9312.8000000000011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93-4ED9-B6D2-8C79CA47B935}"/>
            </c:ext>
          </c:extLst>
        </c:ser>
        <c:ser>
          <c:idx val="3"/>
          <c:order val="3"/>
          <c:tx>
            <c:strRef>
              <c:f>運動!$U$8</c:f>
              <c:strCache>
                <c:ptCount val="1"/>
                <c:pt idx="0">
                  <c:v>總評分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12872636683126473"/>
                  <c:y val="-0.1901476303331681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8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TW"/>
                </a:p>
              </c:txPr>
            </c:trendlineLbl>
          </c:trendline>
          <c:val>
            <c:numRef>
              <c:f>運動!$U$9:$U$100</c:f>
              <c:numCache>
                <c:formatCode>0_ </c:formatCode>
                <c:ptCount val="92"/>
                <c:pt idx="0">
                  <c:v>19224</c:v>
                </c:pt>
                <c:pt idx="1">
                  <c:v>16361.400000000001</c:v>
                </c:pt>
                <c:pt idx="2">
                  <c:v>22646.2</c:v>
                </c:pt>
                <c:pt idx="3">
                  <c:v>20920.599999999999</c:v>
                </c:pt>
                <c:pt idx="4">
                  <c:v>18651</c:v>
                </c:pt>
                <c:pt idx="5">
                  <c:v>16283.6</c:v>
                </c:pt>
                <c:pt idx="6">
                  <c:v>19219.400000000001</c:v>
                </c:pt>
                <c:pt idx="7">
                  <c:v>15959</c:v>
                </c:pt>
                <c:pt idx="8">
                  <c:v>17441.8</c:v>
                </c:pt>
                <c:pt idx="9">
                  <c:v>12168.400000000001</c:v>
                </c:pt>
                <c:pt idx="10">
                  <c:v>19622.400000000001</c:v>
                </c:pt>
                <c:pt idx="11">
                  <c:v>15860.8</c:v>
                </c:pt>
                <c:pt idx="12">
                  <c:v>22390.400000000001</c:v>
                </c:pt>
                <c:pt idx="13">
                  <c:v>18118.8</c:v>
                </c:pt>
                <c:pt idx="14">
                  <c:v>20019.400000000001</c:v>
                </c:pt>
                <c:pt idx="15">
                  <c:v>21124.799999999999</c:v>
                </c:pt>
                <c:pt idx="16">
                  <c:v>23914.400000000001</c:v>
                </c:pt>
                <c:pt idx="17">
                  <c:v>25027.599999999999</c:v>
                </c:pt>
                <c:pt idx="18">
                  <c:v>22029.599999999999</c:v>
                </c:pt>
                <c:pt idx="19">
                  <c:v>27176.6</c:v>
                </c:pt>
                <c:pt idx="20">
                  <c:v>23826.400000000001</c:v>
                </c:pt>
                <c:pt idx="21">
                  <c:v>16642.599999999999</c:v>
                </c:pt>
                <c:pt idx="22">
                  <c:v>22638</c:v>
                </c:pt>
                <c:pt idx="23">
                  <c:v>17774.2</c:v>
                </c:pt>
                <c:pt idx="24">
                  <c:v>15748</c:v>
                </c:pt>
                <c:pt idx="25">
                  <c:v>18222</c:v>
                </c:pt>
                <c:pt idx="26">
                  <c:v>14885.6</c:v>
                </c:pt>
                <c:pt idx="27">
                  <c:v>19463.2</c:v>
                </c:pt>
                <c:pt idx="28">
                  <c:v>19447.599999999999</c:v>
                </c:pt>
                <c:pt idx="29">
                  <c:v>18260.2</c:v>
                </c:pt>
                <c:pt idx="30">
                  <c:v>17490</c:v>
                </c:pt>
                <c:pt idx="31">
                  <c:v>17332.8</c:v>
                </c:pt>
                <c:pt idx="32">
                  <c:v>25594.800000000003</c:v>
                </c:pt>
                <c:pt idx="33">
                  <c:v>17139.8</c:v>
                </c:pt>
                <c:pt idx="34">
                  <c:v>24262.2</c:v>
                </c:pt>
                <c:pt idx="35">
                  <c:v>12624.2</c:v>
                </c:pt>
                <c:pt idx="36">
                  <c:v>18444.599999999999</c:v>
                </c:pt>
                <c:pt idx="37">
                  <c:v>15946.400000000001</c:v>
                </c:pt>
                <c:pt idx="38">
                  <c:v>20879.8</c:v>
                </c:pt>
                <c:pt idx="39">
                  <c:v>14735.6</c:v>
                </c:pt>
                <c:pt idx="40">
                  <c:v>16454.599999999999</c:v>
                </c:pt>
                <c:pt idx="41">
                  <c:v>21890</c:v>
                </c:pt>
                <c:pt idx="42">
                  <c:v>11168.2</c:v>
                </c:pt>
                <c:pt idx="43">
                  <c:v>21460.6</c:v>
                </c:pt>
                <c:pt idx="44">
                  <c:v>17615</c:v>
                </c:pt>
                <c:pt idx="45">
                  <c:v>21425</c:v>
                </c:pt>
                <c:pt idx="46">
                  <c:v>18482</c:v>
                </c:pt>
                <c:pt idx="47">
                  <c:v>23420.799999999999</c:v>
                </c:pt>
                <c:pt idx="48">
                  <c:v>12788.6</c:v>
                </c:pt>
                <c:pt idx="49">
                  <c:v>21506</c:v>
                </c:pt>
                <c:pt idx="50">
                  <c:v>23698.6</c:v>
                </c:pt>
                <c:pt idx="51">
                  <c:v>18751.400000000001</c:v>
                </c:pt>
                <c:pt idx="52">
                  <c:v>23773</c:v>
                </c:pt>
                <c:pt idx="53">
                  <c:v>20574.800000000003</c:v>
                </c:pt>
                <c:pt idx="54">
                  <c:v>31639.4</c:v>
                </c:pt>
                <c:pt idx="55">
                  <c:v>23365.4</c:v>
                </c:pt>
                <c:pt idx="56">
                  <c:v>30590.400000000001</c:v>
                </c:pt>
                <c:pt idx="57">
                  <c:v>22982.799999999999</c:v>
                </c:pt>
                <c:pt idx="58">
                  <c:v>24292.800000000003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793-4ED9-B6D2-8C79CA47B9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6953696"/>
        <c:axId val="646956096"/>
      </c:lineChart>
      <c:catAx>
        <c:axId val="6469536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周數</a:t>
                </a:r>
                <a:endParaRPr lang="en-US" altLang="zh-TW"/>
              </a:p>
            </c:rich>
          </c:tx>
          <c:layout>
            <c:manualLayout>
              <c:xMode val="edge"/>
              <c:yMode val="edge"/>
              <c:x val="0.49388757655293086"/>
              <c:y val="0.866318897637795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 altLang="zh-TW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46956096"/>
        <c:crosses val="autoZero"/>
        <c:auto val="1"/>
        <c:lblAlgn val="ctr"/>
        <c:lblOffset val="100"/>
        <c:noMultiLvlLbl val="0"/>
      </c:catAx>
      <c:valAx>
        <c:axId val="64695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46953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7777777777777776E-2"/>
          <c:y val="0.89409667541557303"/>
          <c:w val="0.86675532031041869"/>
          <c:h val="5.79900965987499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生涯運動占比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AF9-4688-BE22-32326B4C3A3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AF9-4688-BE22-32326B4C3A3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AF9-4688-BE22-32326B4C3A3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6AF9-4688-BE22-32326B4C3A3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6AF9-4688-BE22-32326B4C3A3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6AF9-4688-BE22-32326B4C3A3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6AF9-4688-BE22-32326B4C3A3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6AF9-4688-BE22-32326B4C3A3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6AF9-4688-BE22-32326B4C3A3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6AF9-4688-BE22-32326B4C3A37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運動!$R$5:$T$5</c:f>
              <c:strCache>
                <c:ptCount val="3"/>
                <c:pt idx="0">
                  <c:v>力量</c:v>
                </c:pt>
                <c:pt idx="1">
                  <c:v>有氧</c:v>
                </c:pt>
                <c:pt idx="2">
                  <c:v>活動量</c:v>
                </c:pt>
              </c:strCache>
            </c:strRef>
          </c:cat>
          <c:val>
            <c:numRef>
              <c:f>運動!$R$6:$T$6</c:f>
              <c:numCache>
                <c:formatCode>General</c:formatCode>
                <c:ptCount val="3"/>
                <c:pt idx="0">
                  <c:v>403735</c:v>
                </c:pt>
                <c:pt idx="1">
                  <c:v>411945</c:v>
                </c:pt>
                <c:pt idx="2">
                  <c:v>355717.60000000003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AF9-4688-BE22-32326B4C3A37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27</xdr:col>
      <xdr:colOff>539750</xdr:colOff>
      <xdr:row>27</xdr:row>
      <xdr:rowOff>53340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2B7963F2-ED18-44F9-BCAE-E1D74AFEC1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114300</xdr:colOff>
      <xdr:row>28</xdr:row>
      <xdr:rowOff>121920</xdr:rowOff>
    </xdr:from>
    <xdr:to>
      <xdr:col>8</xdr:col>
      <xdr:colOff>304800</xdr:colOff>
      <xdr:row>43</xdr:row>
      <xdr:rowOff>7620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392F4221-68C8-4D55-A1AC-B0C46A8B2E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7"/>
  <sheetViews>
    <sheetView tabSelected="1" workbookViewId="0">
      <pane ySplit="8" topLeftCell="A54" activePane="bottomLeft" state="frozen"/>
      <selection pane="bottomLeft" activeCell="T68" sqref="T68"/>
    </sheetView>
  </sheetViews>
  <sheetFormatPr defaultRowHeight="14.5" x14ac:dyDescent="0.3"/>
  <cols>
    <col min="1" max="1" width="12.09765625" style="7" customWidth="1"/>
    <col min="2" max="2" width="4.59765625" style="13" customWidth="1"/>
    <col min="3" max="3" width="7.69921875" customWidth="1"/>
    <col min="4" max="4" width="10.5" bestFit="1" customWidth="1"/>
    <col min="5" max="5" width="10.5" customWidth="1"/>
    <col min="6" max="6" width="10.5" bestFit="1" customWidth="1"/>
    <col min="7" max="8" width="8.19921875" bestFit="1" customWidth="1"/>
    <col min="9" max="9" width="10.5" customWidth="1"/>
    <col min="10" max="10" width="11" customWidth="1"/>
    <col min="11" max="11" width="10" customWidth="1"/>
    <col min="12" max="12" width="8.19921875" bestFit="1" customWidth="1"/>
    <col min="13" max="13" width="13.09765625" bestFit="1" customWidth="1"/>
    <col min="14" max="14" width="7.19921875" style="5" customWidth="1"/>
    <col min="15" max="15" width="6.5" style="5" bestFit="1" customWidth="1"/>
    <col min="16" max="16" width="6.5" style="28" customWidth="1"/>
    <col min="17" max="17" width="7.69921875" style="28" customWidth="1"/>
    <col min="18" max="18" width="6.69921875" style="7" customWidth="1"/>
    <col min="19" max="19" width="8" style="7" customWidth="1"/>
    <col min="20" max="20" width="8.09765625" style="36" customWidth="1"/>
    <col min="21" max="21" width="9.69921875" style="36" customWidth="1"/>
    <col min="22" max="23" width="9.8984375" style="37" customWidth="1"/>
    <col min="24" max="24" width="11.19921875" style="37" customWidth="1"/>
    <col min="25" max="25" width="7.5" style="37" customWidth="1"/>
    <col min="26" max="26" width="11.59765625" style="37" customWidth="1"/>
  </cols>
  <sheetData>
    <row r="1" spans="1:28" ht="15" customHeight="1" x14ac:dyDescent="0.3">
      <c r="A1" s="76" t="s">
        <v>1</v>
      </c>
      <c r="B1" s="76" t="s">
        <v>0</v>
      </c>
      <c r="C1" s="60" t="s">
        <v>2</v>
      </c>
      <c r="D1" s="60"/>
      <c r="E1" s="60"/>
      <c r="F1" s="60"/>
      <c r="G1" s="60"/>
      <c r="H1" s="60"/>
      <c r="I1" s="60"/>
      <c r="J1" s="60"/>
      <c r="K1" s="60"/>
      <c r="L1" s="60"/>
      <c r="M1" s="60"/>
      <c r="N1" s="59" t="s">
        <v>19</v>
      </c>
      <c r="O1" s="59"/>
      <c r="P1" s="61" t="s">
        <v>30</v>
      </c>
      <c r="Q1" s="62"/>
      <c r="R1" s="46" t="s">
        <v>20</v>
      </c>
      <c r="S1" s="47"/>
      <c r="T1" s="47"/>
      <c r="U1" s="48"/>
      <c r="V1" s="37" t="s">
        <v>44</v>
      </c>
      <c r="Z1" s="29"/>
      <c r="AA1" s="2"/>
      <c r="AB1" s="2"/>
    </row>
    <row r="2" spans="1:28" x14ac:dyDescent="0.3">
      <c r="A2" s="77"/>
      <c r="B2" s="77"/>
      <c r="C2" s="65" t="s">
        <v>4</v>
      </c>
      <c r="D2" s="66"/>
      <c r="E2" s="66"/>
      <c r="F2" s="66"/>
      <c r="G2" s="66"/>
      <c r="H2" s="66"/>
      <c r="I2" s="66"/>
      <c r="J2" s="66"/>
      <c r="K2" s="67"/>
      <c r="L2" s="60" t="s">
        <v>5</v>
      </c>
      <c r="M2" s="60"/>
      <c r="N2" s="4" t="s">
        <v>4</v>
      </c>
      <c r="O2" s="4" t="s">
        <v>5</v>
      </c>
      <c r="P2" s="63"/>
      <c r="Q2" s="64"/>
      <c r="R2" s="49"/>
      <c r="S2" s="50"/>
      <c r="T2" s="50"/>
      <c r="U2" s="51"/>
      <c r="V2" s="29">
        <f>COUNT(B9:B99999)</f>
        <v>59</v>
      </c>
      <c r="W2" s="29"/>
      <c r="X2" s="29"/>
      <c r="Y2" s="29"/>
      <c r="Z2" s="29"/>
      <c r="AA2" s="2"/>
      <c r="AB2" s="2"/>
    </row>
    <row r="3" spans="1:28" x14ac:dyDescent="0.3">
      <c r="A3" s="55" t="s">
        <v>17</v>
      </c>
      <c r="B3" s="56"/>
      <c r="C3" s="3" t="s">
        <v>13</v>
      </c>
      <c r="D3" s="3" t="s">
        <v>14</v>
      </c>
      <c r="E3" s="3" t="s">
        <v>14</v>
      </c>
      <c r="F3" s="3" t="s">
        <v>14</v>
      </c>
      <c r="G3" s="3" t="s">
        <v>14</v>
      </c>
      <c r="H3" s="3" t="s">
        <v>14</v>
      </c>
      <c r="I3" s="3" t="s">
        <v>14</v>
      </c>
      <c r="J3" s="3" t="s">
        <v>15</v>
      </c>
      <c r="K3" s="3" t="s">
        <v>15</v>
      </c>
      <c r="L3" s="3" t="s">
        <v>16</v>
      </c>
      <c r="M3" s="3" t="s">
        <v>16</v>
      </c>
      <c r="N3" s="4" t="s">
        <v>13</v>
      </c>
      <c r="O3" s="4" t="s">
        <v>16</v>
      </c>
      <c r="P3" s="33"/>
      <c r="Q3" s="33" t="s">
        <v>31</v>
      </c>
      <c r="R3" s="49"/>
      <c r="S3" s="50"/>
      <c r="T3" s="50"/>
      <c r="U3" s="51"/>
      <c r="V3" s="29"/>
      <c r="W3" s="29"/>
      <c r="X3" s="29"/>
      <c r="Y3" s="29"/>
      <c r="Z3" s="29"/>
      <c r="AA3" s="2"/>
      <c r="AB3" s="2"/>
    </row>
    <row r="4" spans="1:28" ht="33" customHeight="1" x14ac:dyDescent="0.3">
      <c r="A4" s="57" t="s">
        <v>18</v>
      </c>
      <c r="B4" s="58"/>
      <c r="C4" s="12">
        <v>1</v>
      </c>
      <c r="D4" s="12">
        <v>60</v>
      </c>
      <c r="E4" s="12">
        <v>45</v>
      </c>
      <c r="F4" s="12">
        <v>40</v>
      </c>
      <c r="G4" s="12">
        <v>50</v>
      </c>
      <c r="H4" s="12">
        <v>5</v>
      </c>
      <c r="I4" s="12">
        <v>45</v>
      </c>
      <c r="J4" s="12">
        <v>5</v>
      </c>
      <c r="K4" s="12">
        <v>5</v>
      </c>
      <c r="L4" s="12">
        <v>1</v>
      </c>
      <c r="M4" s="12">
        <v>2.5</v>
      </c>
      <c r="N4" s="9">
        <v>1</v>
      </c>
      <c r="O4" s="9">
        <v>1000</v>
      </c>
      <c r="P4" s="32"/>
      <c r="Q4" s="32">
        <v>0.2</v>
      </c>
      <c r="R4" s="52"/>
      <c r="S4" s="53"/>
      <c r="T4" s="53"/>
      <c r="U4" s="54"/>
      <c r="V4" s="29"/>
      <c r="W4" s="29"/>
      <c r="X4" s="29"/>
      <c r="Y4" s="29"/>
      <c r="Z4" s="29"/>
      <c r="AA4" s="2"/>
      <c r="AB4" s="2"/>
    </row>
    <row r="5" spans="1:28" x14ac:dyDescent="0.3">
      <c r="A5" s="68" t="s">
        <v>21</v>
      </c>
      <c r="B5" s="69"/>
      <c r="C5" s="8" t="s">
        <v>3</v>
      </c>
      <c r="D5" s="8" t="s">
        <v>12</v>
      </c>
      <c r="E5" s="8" t="s">
        <v>41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43</v>
      </c>
      <c r="K5" s="8" t="s">
        <v>42</v>
      </c>
      <c r="L5" s="8" t="s">
        <v>6</v>
      </c>
      <c r="M5" s="8" t="s">
        <v>7</v>
      </c>
      <c r="N5" s="8" t="s">
        <v>4</v>
      </c>
      <c r="O5" s="8" t="s">
        <v>5</v>
      </c>
      <c r="P5" s="8" t="s">
        <v>35</v>
      </c>
      <c r="Q5" s="8" t="s">
        <v>36</v>
      </c>
      <c r="R5" s="8" t="s">
        <v>4</v>
      </c>
      <c r="S5" s="8" t="s">
        <v>5</v>
      </c>
      <c r="T5" s="34" t="s">
        <v>34</v>
      </c>
      <c r="U5" s="34" t="s">
        <v>20</v>
      </c>
      <c r="V5" s="29"/>
      <c r="W5" s="29"/>
      <c r="X5" s="29"/>
      <c r="Y5" s="29"/>
      <c r="Z5" s="29"/>
      <c r="AA5" s="2"/>
      <c r="AB5" s="2"/>
    </row>
    <row r="6" spans="1:28" x14ac:dyDescent="0.3">
      <c r="A6" s="70"/>
      <c r="B6" s="71"/>
      <c r="C6" s="8">
        <f>SUM(C9:C10006)</f>
        <v>113465</v>
      </c>
      <c r="D6" s="8">
        <f t="shared" ref="D6:O6" si="0">SUM(D9:D10006)</f>
        <v>620</v>
      </c>
      <c r="E6" s="8">
        <f t="shared" si="0"/>
        <v>283</v>
      </c>
      <c r="F6" s="8">
        <f t="shared" si="0"/>
        <v>1274</v>
      </c>
      <c r="G6" s="8">
        <f t="shared" si="0"/>
        <v>991</v>
      </c>
      <c r="H6" s="8">
        <f t="shared" si="0"/>
        <v>8940</v>
      </c>
      <c r="I6" s="8">
        <f t="shared" si="0"/>
        <v>1329</v>
      </c>
      <c r="J6" s="8">
        <f t="shared" si="0"/>
        <v>4364</v>
      </c>
      <c r="K6" s="8">
        <f t="shared" si="0"/>
        <v>2700</v>
      </c>
      <c r="L6" s="8">
        <f t="shared" si="0"/>
        <v>257.52</v>
      </c>
      <c r="M6" s="8">
        <f t="shared" si="0"/>
        <v>61.770000000000024</v>
      </c>
      <c r="N6" s="8">
        <f t="shared" si="0"/>
        <v>403735</v>
      </c>
      <c r="O6" s="8">
        <f t="shared" si="0"/>
        <v>411.94500000000016</v>
      </c>
      <c r="P6" s="74">
        <f>AVERAGE(P9:P10006)</f>
        <v>4306.5084745762715</v>
      </c>
      <c r="Q6" s="74">
        <f>AVERAGE(Q9:Q10006)</f>
        <v>30145.5593220339</v>
      </c>
      <c r="R6" s="8">
        <f>SUM(R9:R10006)</f>
        <v>403735</v>
      </c>
      <c r="S6" s="8">
        <f>SUM(S9:S10006)</f>
        <v>411945</v>
      </c>
      <c r="T6" s="8">
        <f>SUM(T9:T10006)</f>
        <v>355717.60000000003</v>
      </c>
      <c r="U6" s="34">
        <f>SUM(U9:U10006)</f>
        <v>1171397.5999999996</v>
      </c>
      <c r="V6" s="29"/>
      <c r="W6" s="29"/>
      <c r="X6" s="29"/>
      <c r="Y6" s="29"/>
      <c r="Z6" s="29"/>
      <c r="AA6" s="2"/>
      <c r="AB6" s="2"/>
    </row>
    <row r="7" spans="1:28" x14ac:dyDescent="0.3">
      <c r="A7" s="72"/>
      <c r="B7" s="73"/>
      <c r="C7" s="34">
        <f>AVERAGE(C9:C9999)</f>
        <v>1923.1355932203389</v>
      </c>
      <c r="D7" s="34">
        <f t="shared" ref="D7:O7" si="1">AVERAGE(D9:D9999)</f>
        <v>10.508474576271187</v>
      </c>
      <c r="E7" s="34">
        <f t="shared" si="1"/>
        <v>6.5813953488372094</v>
      </c>
      <c r="F7" s="34">
        <f t="shared" si="1"/>
        <v>21.593220338983052</v>
      </c>
      <c r="G7" s="34">
        <f t="shared" si="1"/>
        <v>16.796610169491526</v>
      </c>
      <c r="H7" s="34">
        <f t="shared" si="1"/>
        <v>151.52542372881356</v>
      </c>
      <c r="I7" s="34">
        <f t="shared" si="1"/>
        <v>22.525423728813561</v>
      </c>
      <c r="J7" s="34">
        <f t="shared" si="1"/>
        <v>73.966101694915253</v>
      </c>
      <c r="K7" s="34">
        <f t="shared" si="1"/>
        <v>81.818181818181813</v>
      </c>
      <c r="L7" s="45">
        <f t="shared" si="1"/>
        <v>4.3647457627118644</v>
      </c>
      <c r="M7" s="45">
        <f t="shared" si="1"/>
        <v>1.0469491525423733</v>
      </c>
      <c r="N7" s="34">
        <f t="shared" si="1"/>
        <v>6842.9661016949149</v>
      </c>
      <c r="O7" s="34">
        <f t="shared" si="1"/>
        <v>6.9821186440677998</v>
      </c>
      <c r="P7" s="75"/>
      <c r="Q7" s="75"/>
      <c r="R7" s="8">
        <f>AVERAGE(R9:R9999)</f>
        <v>6842.9661016949149</v>
      </c>
      <c r="S7" s="8">
        <f t="shared" ref="S7:U7" si="2">AVERAGE(S9:S9999)</f>
        <v>6982.1186440677966</v>
      </c>
      <c r="T7" s="8">
        <f t="shared" si="2"/>
        <v>6029.1118644067801</v>
      </c>
      <c r="U7" s="8">
        <f t="shared" si="2"/>
        <v>19854.196610169485</v>
      </c>
      <c r="V7" s="29"/>
      <c r="W7" s="29"/>
      <c r="X7" s="29"/>
      <c r="Y7" s="29"/>
      <c r="Z7" s="29"/>
      <c r="AA7" s="2"/>
      <c r="AB7" s="2"/>
    </row>
    <row r="8" spans="1:28" x14ac:dyDescent="0.3">
      <c r="A8" s="11"/>
      <c r="B8" s="14" t="s">
        <v>0</v>
      </c>
      <c r="C8" s="10" t="s">
        <v>3</v>
      </c>
      <c r="D8" s="10" t="s">
        <v>12</v>
      </c>
      <c r="E8" s="10" t="s">
        <v>41</v>
      </c>
      <c r="F8" s="10" t="s">
        <v>8</v>
      </c>
      <c r="G8" s="10" t="s">
        <v>9</v>
      </c>
      <c r="H8" s="10" t="s">
        <v>10</v>
      </c>
      <c r="I8" s="10" t="s">
        <v>11</v>
      </c>
      <c r="J8" s="10" t="s">
        <v>43</v>
      </c>
      <c r="K8" s="10" t="s">
        <v>42</v>
      </c>
      <c r="L8" s="10" t="s">
        <v>6</v>
      </c>
      <c r="M8" s="10" t="s">
        <v>7</v>
      </c>
      <c r="N8" s="4" t="s">
        <v>4</v>
      </c>
      <c r="O8" s="4" t="s">
        <v>5</v>
      </c>
      <c r="P8" s="33" t="s">
        <v>32</v>
      </c>
      <c r="Q8" s="33" t="s">
        <v>33</v>
      </c>
      <c r="R8" s="6" t="s">
        <v>4</v>
      </c>
      <c r="S8" s="6" t="s">
        <v>5</v>
      </c>
      <c r="T8" s="35" t="s">
        <v>34</v>
      </c>
      <c r="U8" s="35" t="s">
        <v>20</v>
      </c>
      <c r="V8" s="29" t="s">
        <v>38</v>
      </c>
      <c r="W8" s="29" t="s">
        <v>39</v>
      </c>
      <c r="X8" s="29" t="s">
        <v>40</v>
      </c>
      <c r="Y8" s="29" t="s">
        <v>37</v>
      </c>
      <c r="Z8" s="29" t="s">
        <v>29</v>
      </c>
      <c r="AA8" s="1"/>
      <c r="AB8" s="1"/>
    </row>
    <row r="9" spans="1:28" x14ac:dyDescent="0.3">
      <c r="A9" s="24">
        <v>45543</v>
      </c>
      <c r="B9" s="15">
        <v>1</v>
      </c>
      <c r="C9" s="10">
        <v>3500</v>
      </c>
      <c r="D9" s="10">
        <v>5</v>
      </c>
      <c r="E9" s="10"/>
      <c r="F9" s="10">
        <v>10</v>
      </c>
      <c r="G9" s="10">
        <v>10</v>
      </c>
      <c r="H9" s="10">
        <v>160</v>
      </c>
      <c r="I9" s="10">
        <v>13</v>
      </c>
      <c r="J9" s="10">
        <v>0</v>
      </c>
      <c r="K9" s="10"/>
      <c r="L9" s="10">
        <v>5.15</v>
      </c>
      <c r="M9" s="10">
        <v>0.81</v>
      </c>
      <c r="N9" s="4">
        <f t="shared" ref="N9:N34" si="3">C9*$C$4+D9*$D$4+E9*$E$4+F9*$F$4+G9*$G$4+H9*$H$4+I9*$I$4+J9*$J$4</f>
        <v>6085</v>
      </c>
      <c r="O9" s="4">
        <f t="shared" ref="O9:O37" si="4">L9*$L$4+M9*$M$4</f>
        <v>7.1750000000000007</v>
      </c>
      <c r="P9" s="29">
        <v>4260</v>
      </c>
      <c r="Q9" s="33">
        <f>P9*7</f>
        <v>29820</v>
      </c>
      <c r="R9" s="6">
        <f t="shared" ref="R9:R37" si="5">N9*$N$4</f>
        <v>6085</v>
      </c>
      <c r="S9" s="6">
        <f t="shared" ref="S9:S37" si="6">O9*$O$4</f>
        <v>7175.0000000000009</v>
      </c>
      <c r="T9" s="35">
        <f t="shared" ref="T9:T35" si="7">Q9*$Q$4</f>
        <v>5964</v>
      </c>
      <c r="U9" s="35">
        <f>SUM(R9:T9)</f>
        <v>19224</v>
      </c>
      <c r="V9" s="29">
        <f t="shared" ref="V9:V35" si="8">RANK(R9,$R$9:$R$10002)</f>
        <v>36</v>
      </c>
      <c r="W9" s="29">
        <f t="shared" ref="W9:W35" si="9">RANK(S9,$S$9:$S$10002)</f>
        <v>24</v>
      </c>
      <c r="X9" s="29">
        <f>RANK(T9,$T$9:$T$10002)</f>
        <v>28</v>
      </c>
      <c r="Y9" s="29">
        <f t="shared" ref="Y9:Y24" si="10">RANK(U9,$U$9:$U$10002)</f>
        <v>31</v>
      </c>
      <c r="Z9" s="29" t="str">
        <f t="shared" ref="Z9:Z25" si="11">_xlfn.CONCAT(ROUND((1-PERCENTRANK($U$9:$U$10002,U9,2))*100,2),"%")</f>
        <v>52%</v>
      </c>
      <c r="AA9" s="1"/>
      <c r="AB9" s="1"/>
    </row>
    <row r="10" spans="1:28" x14ac:dyDescent="0.3">
      <c r="A10" s="24">
        <v>45550</v>
      </c>
      <c r="B10" s="15">
        <v>2</v>
      </c>
      <c r="C10" s="10">
        <v>1700</v>
      </c>
      <c r="D10" s="10">
        <v>7</v>
      </c>
      <c r="E10" s="10"/>
      <c r="F10" s="10">
        <v>10</v>
      </c>
      <c r="G10" s="10">
        <v>16</v>
      </c>
      <c r="H10" s="10">
        <v>160</v>
      </c>
      <c r="I10" s="10">
        <v>16</v>
      </c>
      <c r="J10" s="10">
        <v>0</v>
      </c>
      <c r="K10" s="10"/>
      <c r="L10" s="10">
        <v>5.01</v>
      </c>
      <c r="M10" s="10">
        <v>0.84</v>
      </c>
      <c r="N10" s="4">
        <f t="shared" si="3"/>
        <v>4840</v>
      </c>
      <c r="O10" s="4">
        <f t="shared" si="4"/>
        <v>7.1099999999999994</v>
      </c>
      <c r="P10" s="33">
        <v>3151</v>
      </c>
      <c r="Q10" s="33">
        <f t="shared" ref="Q10:Q37" si="12">P10*7</f>
        <v>22057</v>
      </c>
      <c r="R10" s="6">
        <f t="shared" si="5"/>
        <v>4840</v>
      </c>
      <c r="S10" s="6">
        <f t="shared" si="6"/>
        <v>7109.9999999999991</v>
      </c>
      <c r="T10" s="35">
        <f t="shared" si="7"/>
        <v>4411.4000000000005</v>
      </c>
      <c r="U10" s="35">
        <f t="shared" ref="U10:U35" si="13">SUM(R10:T10)</f>
        <v>16361.400000000001</v>
      </c>
      <c r="V10" s="29">
        <f t="shared" si="8"/>
        <v>46</v>
      </c>
      <c r="W10" s="29">
        <f t="shared" si="9"/>
        <v>26</v>
      </c>
      <c r="X10" s="29">
        <f t="shared" ref="X10:X35" si="14">RANK(T10,$T$9:$T$10002)</f>
        <v>47</v>
      </c>
      <c r="Y10" s="29">
        <f t="shared" si="10"/>
        <v>48</v>
      </c>
      <c r="Z10" s="29" t="str">
        <f t="shared" si="11"/>
        <v>82%</v>
      </c>
      <c r="AA10" s="1"/>
      <c r="AB10" s="1"/>
    </row>
    <row r="11" spans="1:28" x14ac:dyDescent="0.3">
      <c r="A11" s="24">
        <v>45557</v>
      </c>
      <c r="B11" s="30">
        <v>3</v>
      </c>
      <c r="C11" s="10">
        <v>0</v>
      </c>
      <c r="D11" s="10">
        <v>0</v>
      </c>
      <c r="E11" s="10"/>
      <c r="F11" s="10">
        <v>85</v>
      </c>
      <c r="G11" s="10">
        <v>56</v>
      </c>
      <c r="H11" s="10">
        <v>540</v>
      </c>
      <c r="I11" s="10">
        <v>0</v>
      </c>
      <c r="J11" s="10">
        <v>114</v>
      </c>
      <c r="K11" s="10"/>
      <c r="L11" s="10">
        <v>5.15</v>
      </c>
      <c r="M11" s="10">
        <v>0</v>
      </c>
      <c r="N11" s="4">
        <f t="shared" si="3"/>
        <v>9470</v>
      </c>
      <c r="O11" s="4">
        <f t="shared" si="4"/>
        <v>5.15</v>
      </c>
      <c r="P11" s="33">
        <v>5733</v>
      </c>
      <c r="Q11" s="33">
        <f t="shared" si="12"/>
        <v>40131</v>
      </c>
      <c r="R11" s="6">
        <f t="shared" si="5"/>
        <v>9470</v>
      </c>
      <c r="S11" s="6">
        <f t="shared" si="6"/>
        <v>5150</v>
      </c>
      <c r="T11" s="35">
        <f t="shared" si="7"/>
        <v>8026.2000000000007</v>
      </c>
      <c r="U11" s="35">
        <f t="shared" si="13"/>
        <v>22646.2</v>
      </c>
      <c r="V11" s="29">
        <f t="shared" si="8"/>
        <v>9</v>
      </c>
      <c r="W11" s="29">
        <f t="shared" si="9"/>
        <v>44</v>
      </c>
      <c r="X11" s="29">
        <f t="shared" si="14"/>
        <v>9</v>
      </c>
      <c r="Y11" s="29">
        <f t="shared" si="10"/>
        <v>15</v>
      </c>
      <c r="Z11" s="29" t="str">
        <f t="shared" si="11"/>
        <v>25%</v>
      </c>
      <c r="AA11" s="1"/>
      <c r="AB11" s="1"/>
    </row>
    <row r="12" spans="1:28" x14ac:dyDescent="0.3">
      <c r="A12" s="24">
        <v>45564</v>
      </c>
      <c r="B12" s="15">
        <v>4</v>
      </c>
      <c r="C12" s="10">
        <v>2400</v>
      </c>
      <c r="D12" s="10">
        <v>12</v>
      </c>
      <c r="E12" s="10"/>
      <c r="F12" s="10">
        <v>45</v>
      </c>
      <c r="G12" s="10">
        <v>27</v>
      </c>
      <c r="H12" s="10">
        <v>300</v>
      </c>
      <c r="I12" s="10">
        <v>30</v>
      </c>
      <c r="J12" s="10">
        <v>115</v>
      </c>
      <c r="K12" s="10"/>
      <c r="L12" s="10">
        <v>5.22</v>
      </c>
      <c r="M12" s="10">
        <v>0.93</v>
      </c>
      <c r="N12" s="4">
        <f t="shared" si="3"/>
        <v>9695</v>
      </c>
      <c r="O12" s="4">
        <f t="shared" si="4"/>
        <v>7.5449999999999999</v>
      </c>
      <c r="P12" s="33">
        <v>2629</v>
      </c>
      <c r="Q12" s="33">
        <f t="shared" si="12"/>
        <v>18403</v>
      </c>
      <c r="R12" s="6">
        <f t="shared" si="5"/>
        <v>9695</v>
      </c>
      <c r="S12" s="6">
        <f t="shared" si="6"/>
        <v>7545</v>
      </c>
      <c r="T12" s="35">
        <f t="shared" si="7"/>
        <v>3680.6000000000004</v>
      </c>
      <c r="U12" s="35">
        <f t="shared" si="13"/>
        <v>20920.599999999999</v>
      </c>
      <c r="V12" s="29">
        <f t="shared" si="8"/>
        <v>7</v>
      </c>
      <c r="W12" s="29">
        <f t="shared" si="9"/>
        <v>23</v>
      </c>
      <c r="X12" s="29">
        <f t="shared" si="14"/>
        <v>55</v>
      </c>
      <c r="Y12" s="29">
        <f t="shared" si="10"/>
        <v>24</v>
      </c>
      <c r="Z12" s="29" t="str">
        <f t="shared" si="11"/>
        <v>40%</v>
      </c>
      <c r="AA12" s="1"/>
      <c r="AB12" s="1"/>
    </row>
    <row r="13" spans="1:28" x14ac:dyDescent="0.3">
      <c r="A13" s="24">
        <v>45571</v>
      </c>
      <c r="B13" s="15">
        <v>5</v>
      </c>
      <c r="C13" s="10">
        <v>1600</v>
      </c>
      <c r="D13" s="10">
        <v>12</v>
      </c>
      <c r="E13" s="10"/>
      <c r="F13" s="10">
        <v>30</v>
      </c>
      <c r="G13" s="10">
        <v>30</v>
      </c>
      <c r="H13" s="10">
        <v>250</v>
      </c>
      <c r="I13" s="10">
        <v>30</v>
      </c>
      <c r="J13" s="10">
        <v>110</v>
      </c>
      <c r="K13" s="10"/>
      <c r="L13" s="10">
        <v>4.5999999999999996</v>
      </c>
      <c r="M13" s="10">
        <v>1</v>
      </c>
      <c r="N13" s="4">
        <f t="shared" si="3"/>
        <v>8170</v>
      </c>
      <c r="O13" s="4">
        <f t="shared" si="4"/>
        <v>7.1</v>
      </c>
      <c r="P13" s="33">
        <v>2415</v>
      </c>
      <c r="Q13" s="33">
        <f t="shared" si="12"/>
        <v>16905</v>
      </c>
      <c r="R13" s="6">
        <f t="shared" si="5"/>
        <v>8170</v>
      </c>
      <c r="S13" s="6">
        <f t="shared" si="6"/>
        <v>7100</v>
      </c>
      <c r="T13" s="35">
        <f t="shared" si="7"/>
        <v>3381</v>
      </c>
      <c r="U13" s="35">
        <f t="shared" si="13"/>
        <v>18651</v>
      </c>
      <c r="V13" s="29">
        <f t="shared" si="8"/>
        <v>18</v>
      </c>
      <c r="W13" s="29">
        <f t="shared" si="9"/>
        <v>27</v>
      </c>
      <c r="X13" s="29">
        <f t="shared" si="14"/>
        <v>58</v>
      </c>
      <c r="Y13" s="29">
        <f t="shared" si="10"/>
        <v>34</v>
      </c>
      <c r="Z13" s="29" t="str">
        <f t="shared" si="11"/>
        <v>57%</v>
      </c>
      <c r="AA13" s="1"/>
      <c r="AB13" s="1"/>
    </row>
    <row r="14" spans="1:28" x14ac:dyDescent="0.3">
      <c r="A14" s="24">
        <v>45578</v>
      </c>
      <c r="B14" s="31">
        <v>6</v>
      </c>
      <c r="C14" s="10">
        <v>2800</v>
      </c>
      <c r="D14" s="10">
        <v>16</v>
      </c>
      <c r="E14" s="10"/>
      <c r="F14" s="10">
        <v>20</v>
      </c>
      <c r="G14" s="10">
        <v>20</v>
      </c>
      <c r="H14" s="10">
        <v>200</v>
      </c>
      <c r="I14" s="10">
        <v>35</v>
      </c>
      <c r="J14" s="10">
        <v>245</v>
      </c>
      <c r="K14" s="10"/>
      <c r="L14" s="10">
        <v>0</v>
      </c>
      <c r="M14" s="10">
        <v>0.88</v>
      </c>
      <c r="N14" s="4">
        <f t="shared" si="3"/>
        <v>9360</v>
      </c>
      <c r="O14" s="4">
        <f t="shared" si="4"/>
        <v>2.2000000000000002</v>
      </c>
      <c r="P14" s="33">
        <v>3374</v>
      </c>
      <c r="Q14" s="33">
        <f t="shared" si="12"/>
        <v>23618</v>
      </c>
      <c r="R14" s="6">
        <f t="shared" si="5"/>
        <v>9360</v>
      </c>
      <c r="S14" s="6">
        <f t="shared" si="6"/>
        <v>2200</v>
      </c>
      <c r="T14" s="35">
        <f t="shared" si="7"/>
        <v>4723.6000000000004</v>
      </c>
      <c r="U14" s="35">
        <f t="shared" si="13"/>
        <v>16283.6</v>
      </c>
      <c r="V14" s="29">
        <f t="shared" si="8"/>
        <v>11</v>
      </c>
      <c r="W14" s="29">
        <f t="shared" si="9"/>
        <v>57</v>
      </c>
      <c r="X14" s="29">
        <f t="shared" si="14"/>
        <v>43</v>
      </c>
      <c r="Y14" s="29">
        <f t="shared" si="10"/>
        <v>49</v>
      </c>
      <c r="Z14" s="29" t="str">
        <f t="shared" si="11"/>
        <v>83%</v>
      </c>
      <c r="AA14" s="1"/>
      <c r="AB14" s="1"/>
    </row>
    <row r="15" spans="1:28" x14ac:dyDescent="0.3">
      <c r="A15" s="24">
        <v>45585</v>
      </c>
      <c r="B15" s="15">
        <v>7</v>
      </c>
      <c r="C15" s="10">
        <v>2800</v>
      </c>
      <c r="D15" s="10">
        <v>7</v>
      </c>
      <c r="E15" s="10"/>
      <c r="F15" s="10">
        <v>12</v>
      </c>
      <c r="G15" s="10">
        <v>20</v>
      </c>
      <c r="H15" s="10">
        <v>100</v>
      </c>
      <c r="I15" s="10">
        <v>32</v>
      </c>
      <c r="J15" s="10">
        <v>60</v>
      </c>
      <c r="K15" s="10"/>
      <c r="L15" s="10">
        <v>4.5</v>
      </c>
      <c r="M15" s="10">
        <v>0.86</v>
      </c>
      <c r="N15" s="4">
        <f t="shared" si="3"/>
        <v>6940</v>
      </c>
      <c r="O15" s="4">
        <f t="shared" si="4"/>
        <v>6.65</v>
      </c>
      <c r="P15" s="33">
        <v>4021</v>
      </c>
      <c r="Q15" s="33">
        <f t="shared" si="12"/>
        <v>28147</v>
      </c>
      <c r="R15" s="6">
        <f t="shared" si="5"/>
        <v>6940</v>
      </c>
      <c r="S15" s="6">
        <f t="shared" si="6"/>
        <v>6650</v>
      </c>
      <c r="T15" s="35">
        <f t="shared" si="7"/>
        <v>5629.4000000000005</v>
      </c>
      <c r="U15" s="35">
        <f t="shared" si="13"/>
        <v>19219.400000000001</v>
      </c>
      <c r="V15" s="29">
        <f t="shared" si="8"/>
        <v>31</v>
      </c>
      <c r="W15" s="29">
        <f t="shared" si="9"/>
        <v>28</v>
      </c>
      <c r="X15" s="29">
        <f t="shared" si="14"/>
        <v>33</v>
      </c>
      <c r="Y15" s="29">
        <f t="shared" si="10"/>
        <v>32</v>
      </c>
      <c r="Z15" s="29" t="str">
        <f t="shared" si="11"/>
        <v>54%</v>
      </c>
      <c r="AA15" s="2"/>
      <c r="AB15" s="2"/>
    </row>
    <row r="16" spans="1:28" x14ac:dyDescent="0.3">
      <c r="A16" s="24">
        <v>45592</v>
      </c>
      <c r="B16" s="15">
        <v>8</v>
      </c>
      <c r="C16" s="10">
        <v>2000</v>
      </c>
      <c r="D16" s="10">
        <v>18</v>
      </c>
      <c r="E16" s="10"/>
      <c r="F16" s="10">
        <v>10</v>
      </c>
      <c r="G16" s="10">
        <v>20</v>
      </c>
      <c r="H16" s="10">
        <v>100</v>
      </c>
      <c r="I16" s="10">
        <v>33</v>
      </c>
      <c r="J16" s="10">
        <v>110</v>
      </c>
      <c r="K16" s="10"/>
      <c r="L16" s="10">
        <v>3</v>
      </c>
      <c r="M16" s="10">
        <v>1</v>
      </c>
      <c r="N16" s="4">
        <f t="shared" si="3"/>
        <v>7015</v>
      </c>
      <c r="O16" s="4">
        <f t="shared" si="4"/>
        <v>5.5</v>
      </c>
      <c r="P16" s="33">
        <v>2460</v>
      </c>
      <c r="Q16" s="33">
        <f t="shared" si="12"/>
        <v>17220</v>
      </c>
      <c r="R16" s="6">
        <f t="shared" si="5"/>
        <v>7015</v>
      </c>
      <c r="S16" s="6">
        <f t="shared" si="6"/>
        <v>5500</v>
      </c>
      <c r="T16" s="35">
        <f t="shared" si="7"/>
        <v>3444</v>
      </c>
      <c r="U16" s="35">
        <f t="shared" si="13"/>
        <v>15959</v>
      </c>
      <c r="V16" s="29">
        <f t="shared" si="8"/>
        <v>30</v>
      </c>
      <c r="W16" s="29">
        <f t="shared" si="9"/>
        <v>40</v>
      </c>
      <c r="X16" s="29">
        <f t="shared" si="14"/>
        <v>57</v>
      </c>
      <c r="Y16" s="29">
        <f t="shared" si="10"/>
        <v>50</v>
      </c>
      <c r="Z16" s="29" t="str">
        <f t="shared" si="11"/>
        <v>85%</v>
      </c>
      <c r="AA16" s="2"/>
      <c r="AB16" s="2"/>
    </row>
    <row r="17" spans="1:28" x14ac:dyDescent="0.3">
      <c r="A17" s="24">
        <v>45599</v>
      </c>
      <c r="B17" s="31">
        <v>9</v>
      </c>
      <c r="C17" s="10">
        <v>2200</v>
      </c>
      <c r="D17" s="10">
        <v>11</v>
      </c>
      <c r="E17" s="10"/>
      <c r="F17" s="10">
        <v>38</v>
      </c>
      <c r="G17" s="10">
        <v>30</v>
      </c>
      <c r="H17" s="10">
        <v>270</v>
      </c>
      <c r="I17" s="10">
        <v>12</v>
      </c>
      <c r="J17" s="10">
        <v>60</v>
      </c>
      <c r="K17" s="10"/>
      <c r="L17" s="10">
        <v>3</v>
      </c>
      <c r="M17" s="10">
        <v>1.1000000000000001</v>
      </c>
      <c r="N17" s="4">
        <f t="shared" si="3"/>
        <v>8070</v>
      </c>
      <c r="O17" s="4">
        <f t="shared" si="4"/>
        <v>5.75</v>
      </c>
      <c r="P17" s="33">
        <v>2587</v>
      </c>
      <c r="Q17" s="33">
        <f t="shared" si="12"/>
        <v>18109</v>
      </c>
      <c r="R17" s="6">
        <f t="shared" si="5"/>
        <v>8070</v>
      </c>
      <c r="S17" s="6">
        <f t="shared" si="6"/>
        <v>5750</v>
      </c>
      <c r="T17" s="35">
        <f t="shared" si="7"/>
        <v>3621.8</v>
      </c>
      <c r="U17" s="35">
        <f t="shared" si="13"/>
        <v>17441.8</v>
      </c>
      <c r="V17" s="29">
        <f t="shared" si="8"/>
        <v>19</v>
      </c>
      <c r="W17" s="29">
        <f t="shared" si="9"/>
        <v>34</v>
      </c>
      <c r="X17" s="29">
        <f t="shared" si="14"/>
        <v>56</v>
      </c>
      <c r="Y17" s="29">
        <f t="shared" si="10"/>
        <v>43</v>
      </c>
      <c r="Z17" s="29" t="str">
        <f t="shared" si="11"/>
        <v>73%</v>
      </c>
      <c r="AA17" s="2"/>
      <c r="AB17" s="2"/>
    </row>
    <row r="18" spans="1:28" x14ac:dyDescent="0.3">
      <c r="A18" s="24">
        <v>45606</v>
      </c>
      <c r="B18" s="15">
        <v>10</v>
      </c>
      <c r="C18" s="10">
        <v>1200</v>
      </c>
      <c r="D18" s="10">
        <v>0</v>
      </c>
      <c r="E18" s="10"/>
      <c r="F18" s="10">
        <v>20</v>
      </c>
      <c r="G18" s="10">
        <v>10</v>
      </c>
      <c r="H18" s="10">
        <v>100</v>
      </c>
      <c r="I18" s="10">
        <v>22</v>
      </c>
      <c r="J18" s="10">
        <v>75</v>
      </c>
      <c r="K18" s="10"/>
      <c r="L18" s="10">
        <v>0</v>
      </c>
      <c r="M18" s="10">
        <v>1.2</v>
      </c>
      <c r="N18" s="4">
        <f t="shared" si="3"/>
        <v>4365</v>
      </c>
      <c r="O18" s="4">
        <f t="shared" si="4"/>
        <v>3</v>
      </c>
      <c r="P18" s="33">
        <v>3431</v>
      </c>
      <c r="Q18" s="33">
        <f t="shared" si="12"/>
        <v>24017</v>
      </c>
      <c r="R18" s="6">
        <f t="shared" si="5"/>
        <v>4365</v>
      </c>
      <c r="S18" s="6">
        <f t="shared" si="6"/>
        <v>3000</v>
      </c>
      <c r="T18" s="35">
        <f t="shared" si="7"/>
        <v>4803.4000000000005</v>
      </c>
      <c r="U18" s="35">
        <f t="shared" si="13"/>
        <v>12168.400000000001</v>
      </c>
      <c r="V18" s="29">
        <f t="shared" si="8"/>
        <v>50</v>
      </c>
      <c r="W18" s="29">
        <f t="shared" si="9"/>
        <v>54</v>
      </c>
      <c r="X18" s="29">
        <f t="shared" si="14"/>
        <v>42</v>
      </c>
      <c r="Y18" s="29">
        <f t="shared" si="10"/>
        <v>58</v>
      </c>
      <c r="Z18" s="29" t="str">
        <f t="shared" si="11"/>
        <v>99%</v>
      </c>
      <c r="AA18" s="2"/>
      <c r="AB18" s="2"/>
    </row>
    <row r="19" spans="1:28" x14ac:dyDescent="0.3">
      <c r="A19" s="24">
        <v>45613</v>
      </c>
      <c r="B19" s="31">
        <v>11</v>
      </c>
      <c r="C19" s="10">
        <v>2000</v>
      </c>
      <c r="D19" s="10">
        <v>7</v>
      </c>
      <c r="E19" s="10"/>
      <c r="F19" s="10">
        <v>30</v>
      </c>
      <c r="G19" s="10">
        <v>30</v>
      </c>
      <c r="H19" s="10">
        <v>250</v>
      </c>
      <c r="I19" s="10">
        <v>33</v>
      </c>
      <c r="J19" s="10">
        <v>135</v>
      </c>
      <c r="K19" s="10"/>
      <c r="L19" s="10">
        <v>2.69</v>
      </c>
      <c r="M19" s="10">
        <v>1.1399999999999999</v>
      </c>
      <c r="N19" s="4">
        <f t="shared" si="3"/>
        <v>8530</v>
      </c>
      <c r="O19" s="4">
        <f t="shared" si="4"/>
        <v>5.5399999999999991</v>
      </c>
      <c r="P19" s="33">
        <v>3966</v>
      </c>
      <c r="Q19" s="33">
        <f t="shared" si="12"/>
        <v>27762</v>
      </c>
      <c r="R19" s="6">
        <f t="shared" si="5"/>
        <v>8530</v>
      </c>
      <c r="S19" s="6">
        <f t="shared" si="6"/>
        <v>5539.9999999999991</v>
      </c>
      <c r="T19" s="35">
        <f t="shared" si="7"/>
        <v>5552.4000000000005</v>
      </c>
      <c r="U19" s="35">
        <f t="shared" si="13"/>
        <v>19622.400000000001</v>
      </c>
      <c r="V19" s="29">
        <f t="shared" si="8"/>
        <v>17</v>
      </c>
      <c r="W19" s="29">
        <f t="shared" si="9"/>
        <v>38</v>
      </c>
      <c r="X19" s="29">
        <f t="shared" si="14"/>
        <v>34</v>
      </c>
      <c r="Y19" s="29">
        <f t="shared" si="10"/>
        <v>28</v>
      </c>
      <c r="Z19" s="29" t="str">
        <f t="shared" si="11"/>
        <v>47%</v>
      </c>
      <c r="AA19" s="2"/>
      <c r="AB19" s="2"/>
    </row>
    <row r="20" spans="1:28" x14ac:dyDescent="0.3">
      <c r="A20" s="24">
        <v>45620</v>
      </c>
      <c r="B20" s="15">
        <v>12</v>
      </c>
      <c r="C20" s="10">
        <v>1500</v>
      </c>
      <c r="D20" s="10">
        <v>14</v>
      </c>
      <c r="E20" s="10"/>
      <c r="F20" s="10">
        <v>22</v>
      </c>
      <c r="G20" s="10">
        <v>20</v>
      </c>
      <c r="H20" s="10">
        <v>100</v>
      </c>
      <c r="I20" s="10">
        <v>33</v>
      </c>
      <c r="J20" s="10">
        <v>120</v>
      </c>
      <c r="K20" s="10"/>
      <c r="L20" s="10">
        <v>3</v>
      </c>
      <c r="M20" s="10">
        <v>0.87</v>
      </c>
      <c r="N20" s="4">
        <f t="shared" si="3"/>
        <v>6805</v>
      </c>
      <c r="O20" s="4">
        <f t="shared" si="4"/>
        <v>5.1749999999999998</v>
      </c>
      <c r="P20" s="33">
        <v>2772</v>
      </c>
      <c r="Q20" s="33">
        <f t="shared" si="12"/>
        <v>19404</v>
      </c>
      <c r="R20" s="6">
        <f t="shared" si="5"/>
        <v>6805</v>
      </c>
      <c r="S20" s="6">
        <f t="shared" si="6"/>
        <v>5175</v>
      </c>
      <c r="T20" s="35">
        <f t="shared" si="7"/>
        <v>3880.8</v>
      </c>
      <c r="U20" s="35">
        <f t="shared" si="13"/>
        <v>15860.8</v>
      </c>
      <c r="V20" s="29">
        <f t="shared" si="8"/>
        <v>32</v>
      </c>
      <c r="W20" s="29">
        <f t="shared" si="9"/>
        <v>43</v>
      </c>
      <c r="X20" s="29">
        <f t="shared" si="14"/>
        <v>51</v>
      </c>
      <c r="Y20" s="29">
        <f t="shared" si="10"/>
        <v>52</v>
      </c>
      <c r="Z20" s="29" t="str">
        <f t="shared" si="11"/>
        <v>88%</v>
      </c>
      <c r="AA20" s="2"/>
      <c r="AB20" s="2"/>
    </row>
    <row r="21" spans="1:28" x14ac:dyDescent="0.3">
      <c r="A21" s="24">
        <v>45627</v>
      </c>
      <c r="B21" s="15">
        <v>13</v>
      </c>
      <c r="C21" s="10">
        <v>3400</v>
      </c>
      <c r="D21" s="10">
        <v>17</v>
      </c>
      <c r="E21" s="10"/>
      <c r="F21" s="10">
        <v>30</v>
      </c>
      <c r="G21" s="10">
        <v>20</v>
      </c>
      <c r="H21" s="10">
        <v>380</v>
      </c>
      <c r="I21" s="10">
        <v>34</v>
      </c>
      <c r="J21" s="10">
        <v>60</v>
      </c>
      <c r="K21" s="10"/>
      <c r="L21" s="10">
        <v>3.4</v>
      </c>
      <c r="M21" s="10">
        <v>0.86</v>
      </c>
      <c r="N21" s="4">
        <f t="shared" si="3"/>
        <v>10350</v>
      </c>
      <c r="O21" s="4">
        <f t="shared" si="4"/>
        <v>5.55</v>
      </c>
      <c r="P21" s="33">
        <v>4636</v>
      </c>
      <c r="Q21" s="33">
        <f t="shared" si="12"/>
        <v>32452</v>
      </c>
      <c r="R21" s="6">
        <f t="shared" si="5"/>
        <v>10350</v>
      </c>
      <c r="S21" s="6">
        <f t="shared" si="6"/>
        <v>5550</v>
      </c>
      <c r="T21" s="35">
        <f t="shared" si="7"/>
        <v>6490.4000000000005</v>
      </c>
      <c r="U21" s="35">
        <f t="shared" si="13"/>
        <v>22390.400000000001</v>
      </c>
      <c r="V21" s="29">
        <f t="shared" si="8"/>
        <v>4</v>
      </c>
      <c r="W21" s="29">
        <f t="shared" si="9"/>
        <v>37</v>
      </c>
      <c r="X21" s="29">
        <f t="shared" si="14"/>
        <v>18</v>
      </c>
      <c r="Y21" s="29">
        <f t="shared" si="10"/>
        <v>17</v>
      </c>
      <c r="Z21" s="29" t="str">
        <f t="shared" si="11"/>
        <v>28%</v>
      </c>
      <c r="AA21" s="2"/>
      <c r="AB21" s="2"/>
    </row>
    <row r="22" spans="1:28" x14ac:dyDescent="0.3">
      <c r="A22" s="24">
        <v>45634</v>
      </c>
      <c r="B22" s="15">
        <v>14</v>
      </c>
      <c r="C22" s="10">
        <v>2300</v>
      </c>
      <c r="D22" s="10">
        <v>10</v>
      </c>
      <c r="E22" s="10"/>
      <c r="F22" s="10">
        <v>32</v>
      </c>
      <c r="G22" s="10">
        <v>20</v>
      </c>
      <c r="H22" s="10">
        <v>300</v>
      </c>
      <c r="I22" s="10">
        <v>22</v>
      </c>
      <c r="J22" s="10">
        <v>60</v>
      </c>
      <c r="K22" s="10"/>
      <c r="L22" s="10">
        <v>2.78</v>
      </c>
      <c r="M22" s="10">
        <v>0.88</v>
      </c>
      <c r="N22" s="4">
        <f t="shared" si="3"/>
        <v>7970</v>
      </c>
      <c r="O22" s="4">
        <f t="shared" si="4"/>
        <v>4.9800000000000004</v>
      </c>
      <c r="P22" s="33">
        <v>3692</v>
      </c>
      <c r="Q22" s="33">
        <f t="shared" si="12"/>
        <v>25844</v>
      </c>
      <c r="R22" s="6">
        <f t="shared" si="5"/>
        <v>7970</v>
      </c>
      <c r="S22" s="6">
        <f t="shared" si="6"/>
        <v>4980</v>
      </c>
      <c r="T22" s="35">
        <f t="shared" si="7"/>
        <v>5168.8</v>
      </c>
      <c r="U22" s="35">
        <f t="shared" si="13"/>
        <v>18118.8</v>
      </c>
      <c r="V22" s="29">
        <f t="shared" si="8"/>
        <v>21</v>
      </c>
      <c r="W22" s="29">
        <f t="shared" si="9"/>
        <v>47</v>
      </c>
      <c r="X22" s="29">
        <f t="shared" si="14"/>
        <v>37</v>
      </c>
      <c r="Y22" s="29">
        <f t="shared" si="10"/>
        <v>39</v>
      </c>
      <c r="Z22" s="29" t="str">
        <f t="shared" si="11"/>
        <v>66%</v>
      </c>
      <c r="AA22" s="2"/>
      <c r="AB22" s="2"/>
    </row>
    <row r="23" spans="1:28" x14ac:dyDescent="0.3">
      <c r="A23" s="24">
        <v>45641</v>
      </c>
      <c r="B23" s="15">
        <v>15</v>
      </c>
      <c r="C23" s="10">
        <v>2100</v>
      </c>
      <c r="D23" s="10">
        <v>17</v>
      </c>
      <c r="E23" s="10"/>
      <c r="F23" s="10">
        <v>20</v>
      </c>
      <c r="G23" s="10">
        <v>20</v>
      </c>
      <c r="H23" s="10">
        <v>100</v>
      </c>
      <c r="I23" s="10">
        <v>34</v>
      </c>
      <c r="J23" s="10">
        <v>120</v>
      </c>
      <c r="K23" s="10"/>
      <c r="L23" s="10">
        <v>1.81</v>
      </c>
      <c r="M23" s="10">
        <v>0.85</v>
      </c>
      <c r="N23" s="4">
        <f t="shared" si="3"/>
        <v>7550</v>
      </c>
      <c r="O23" s="4">
        <f t="shared" si="4"/>
        <v>3.9350000000000001</v>
      </c>
      <c r="P23" s="33">
        <v>6096</v>
      </c>
      <c r="Q23" s="33">
        <f t="shared" si="12"/>
        <v>42672</v>
      </c>
      <c r="R23" s="6">
        <f t="shared" si="5"/>
        <v>7550</v>
      </c>
      <c r="S23" s="6">
        <f t="shared" si="6"/>
        <v>3935</v>
      </c>
      <c r="T23" s="35">
        <f t="shared" si="7"/>
        <v>8534.4</v>
      </c>
      <c r="U23" s="35">
        <f t="shared" si="13"/>
        <v>20019.400000000001</v>
      </c>
      <c r="V23" s="29">
        <f t="shared" si="8"/>
        <v>26</v>
      </c>
      <c r="W23" s="29">
        <f t="shared" si="9"/>
        <v>51</v>
      </c>
      <c r="X23" s="29">
        <f t="shared" si="14"/>
        <v>7</v>
      </c>
      <c r="Y23" s="29">
        <f t="shared" si="10"/>
        <v>27</v>
      </c>
      <c r="Z23" s="29" t="str">
        <f t="shared" si="11"/>
        <v>45%</v>
      </c>
      <c r="AA23" s="2"/>
      <c r="AB23" s="2"/>
    </row>
    <row r="24" spans="1:28" x14ac:dyDescent="0.3">
      <c r="A24" s="24">
        <v>45648</v>
      </c>
      <c r="B24" s="15">
        <v>16</v>
      </c>
      <c r="C24" s="10">
        <v>3100</v>
      </c>
      <c r="D24" s="10">
        <v>12</v>
      </c>
      <c r="E24" s="10"/>
      <c r="F24" s="10">
        <v>20</v>
      </c>
      <c r="G24" s="10">
        <v>20</v>
      </c>
      <c r="H24" s="10">
        <v>150</v>
      </c>
      <c r="I24" s="10">
        <v>22</v>
      </c>
      <c r="J24" s="10">
        <v>0</v>
      </c>
      <c r="K24" s="10"/>
      <c r="L24" s="10">
        <v>1.49</v>
      </c>
      <c r="M24" s="10">
        <v>1.77</v>
      </c>
      <c r="N24" s="4">
        <f t="shared" si="3"/>
        <v>7360</v>
      </c>
      <c r="O24" s="4">
        <f t="shared" si="4"/>
        <v>5.915</v>
      </c>
      <c r="P24" s="33">
        <v>5607</v>
      </c>
      <c r="Q24" s="33">
        <f t="shared" si="12"/>
        <v>39249</v>
      </c>
      <c r="R24" s="6">
        <f t="shared" si="5"/>
        <v>7360</v>
      </c>
      <c r="S24" s="6">
        <f t="shared" si="6"/>
        <v>5915</v>
      </c>
      <c r="T24" s="35">
        <f t="shared" si="7"/>
        <v>7849.8</v>
      </c>
      <c r="U24" s="35">
        <f t="shared" si="13"/>
        <v>21124.799999999999</v>
      </c>
      <c r="V24" s="29">
        <f t="shared" si="8"/>
        <v>27</v>
      </c>
      <c r="W24" s="29">
        <f t="shared" si="9"/>
        <v>33</v>
      </c>
      <c r="X24" s="29">
        <f t="shared" si="14"/>
        <v>10</v>
      </c>
      <c r="Y24" s="29">
        <f t="shared" si="10"/>
        <v>23</v>
      </c>
      <c r="Z24" s="29" t="str">
        <f t="shared" si="11"/>
        <v>38%</v>
      </c>
      <c r="AA24" s="2"/>
      <c r="AB24" s="2"/>
    </row>
    <row r="25" spans="1:28" x14ac:dyDescent="0.3">
      <c r="A25" s="24">
        <v>45655</v>
      </c>
      <c r="B25" s="15">
        <v>17</v>
      </c>
      <c r="C25" s="10">
        <v>2300</v>
      </c>
      <c r="D25" s="10">
        <v>15</v>
      </c>
      <c r="E25" s="10">
        <v>15</v>
      </c>
      <c r="F25" s="10">
        <v>40</v>
      </c>
      <c r="G25" s="10">
        <v>30</v>
      </c>
      <c r="H25" s="10">
        <v>250</v>
      </c>
      <c r="I25" s="10">
        <v>40</v>
      </c>
      <c r="J25" s="10">
        <v>120</v>
      </c>
      <c r="K25" s="10"/>
      <c r="L25" s="10">
        <v>1.33</v>
      </c>
      <c r="M25" s="10">
        <v>1.86</v>
      </c>
      <c r="N25" s="4">
        <f t="shared" si="3"/>
        <v>10625</v>
      </c>
      <c r="O25" s="4">
        <f t="shared" si="4"/>
        <v>5.98</v>
      </c>
      <c r="P25" s="33">
        <v>5221</v>
      </c>
      <c r="Q25" s="33">
        <f t="shared" si="12"/>
        <v>36547</v>
      </c>
      <c r="R25" s="6">
        <f t="shared" si="5"/>
        <v>10625</v>
      </c>
      <c r="S25" s="35">
        <f t="shared" si="6"/>
        <v>5980</v>
      </c>
      <c r="T25" s="35">
        <f t="shared" si="7"/>
        <v>7309.4000000000005</v>
      </c>
      <c r="U25" s="35">
        <f t="shared" si="13"/>
        <v>23914.400000000001</v>
      </c>
      <c r="V25" s="29">
        <f t="shared" si="8"/>
        <v>3</v>
      </c>
      <c r="W25" s="29">
        <f t="shared" si="9"/>
        <v>32</v>
      </c>
      <c r="X25" s="29">
        <f t="shared" si="14"/>
        <v>13</v>
      </c>
      <c r="Y25" s="29">
        <f t="shared" ref="Y25:Y35" si="15">RANK(U25,$U$9:$U$10002)</f>
        <v>8</v>
      </c>
      <c r="Z25" s="29" t="str">
        <f t="shared" si="11"/>
        <v>13%</v>
      </c>
      <c r="AA25" s="2"/>
      <c r="AB25" s="2"/>
    </row>
    <row r="26" spans="1:28" x14ac:dyDescent="0.3">
      <c r="A26" s="24">
        <v>45662</v>
      </c>
      <c r="B26" s="15">
        <v>18</v>
      </c>
      <c r="C26" s="10">
        <v>2700</v>
      </c>
      <c r="D26" s="10">
        <v>14</v>
      </c>
      <c r="E26" s="10">
        <v>6</v>
      </c>
      <c r="F26" s="10">
        <v>45</v>
      </c>
      <c r="G26" s="10">
        <v>30</v>
      </c>
      <c r="H26" s="10">
        <v>220</v>
      </c>
      <c r="I26" s="10">
        <v>44</v>
      </c>
      <c r="J26" s="10">
        <v>120</v>
      </c>
      <c r="K26" s="10"/>
      <c r="L26" s="10">
        <v>3.1</v>
      </c>
      <c r="M26" s="10">
        <v>2</v>
      </c>
      <c r="N26" s="4">
        <f t="shared" si="3"/>
        <v>10790</v>
      </c>
      <c r="O26" s="4">
        <f t="shared" si="4"/>
        <v>8.1</v>
      </c>
      <c r="P26" s="33">
        <v>4384</v>
      </c>
      <c r="Q26" s="33">
        <f t="shared" si="12"/>
        <v>30688</v>
      </c>
      <c r="R26" s="6">
        <f t="shared" si="5"/>
        <v>10790</v>
      </c>
      <c r="S26" s="6">
        <f t="shared" si="6"/>
        <v>8100</v>
      </c>
      <c r="T26" s="35">
        <f t="shared" si="7"/>
        <v>6137.6</v>
      </c>
      <c r="U26" s="35">
        <f t="shared" si="13"/>
        <v>25027.599999999999</v>
      </c>
      <c r="V26" s="29">
        <f t="shared" si="8"/>
        <v>2</v>
      </c>
      <c r="W26" s="29">
        <f t="shared" si="9"/>
        <v>20</v>
      </c>
      <c r="X26" s="29">
        <f t="shared" si="14"/>
        <v>23</v>
      </c>
      <c r="Y26" s="29">
        <f t="shared" si="15"/>
        <v>5</v>
      </c>
      <c r="Z26" s="29" t="str">
        <f>_xlfn.CONCAT(ROUND((1-PERCENTRANK($U$9:$U$10002,U26,2))*100,2),"%")</f>
        <v>7%</v>
      </c>
      <c r="AA26" s="2"/>
      <c r="AB26" s="2"/>
    </row>
    <row r="27" spans="1:28" x14ac:dyDescent="0.3">
      <c r="A27" s="24">
        <v>45669</v>
      </c>
      <c r="B27" s="15">
        <v>19</v>
      </c>
      <c r="C27" s="10">
        <v>3000</v>
      </c>
      <c r="D27" s="10">
        <v>22</v>
      </c>
      <c r="E27" s="10">
        <v>10</v>
      </c>
      <c r="F27" s="10">
        <v>20</v>
      </c>
      <c r="G27" s="10">
        <v>15</v>
      </c>
      <c r="H27" s="10">
        <v>200</v>
      </c>
      <c r="I27" s="10">
        <v>20</v>
      </c>
      <c r="J27" s="10">
        <v>100</v>
      </c>
      <c r="K27" s="10"/>
      <c r="L27" s="10">
        <v>3</v>
      </c>
      <c r="M27" s="10">
        <v>2.1</v>
      </c>
      <c r="N27" s="4">
        <f t="shared" si="3"/>
        <v>8720</v>
      </c>
      <c r="O27" s="4">
        <f t="shared" si="4"/>
        <v>8.25</v>
      </c>
      <c r="P27" s="33">
        <v>3614</v>
      </c>
      <c r="Q27" s="33">
        <f t="shared" si="12"/>
        <v>25298</v>
      </c>
      <c r="R27" s="6">
        <f t="shared" si="5"/>
        <v>8720</v>
      </c>
      <c r="S27" s="6">
        <f t="shared" si="6"/>
        <v>8250</v>
      </c>
      <c r="T27" s="35">
        <f t="shared" si="7"/>
        <v>5059.6000000000004</v>
      </c>
      <c r="U27" s="35">
        <f t="shared" si="13"/>
        <v>22029.599999999999</v>
      </c>
      <c r="V27" s="29">
        <f t="shared" si="8"/>
        <v>14</v>
      </c>
      <c r="W27" s="29">
        <f t="shared" si="9"/>
        <v>18</v>
      </c>
      <c r="X27" s="29">
        <f t="shared" si="14"/>
        <v>40</v>
      </c>
      <c r="Y27" s="29">
        <f t="shared" si="15"/>
        <v>18</v>
      </c>
      <c r="Z27" s="29" t="str">
        <f t="shared" ref="Z27:Z35" si="16">_xlfn.CONCAT(ROUND((1-PERCENTRANK($U$9:$U$10002,U27,2))*100,2),"%")</f>
        <v>30%</v>
      </c>
      <c r="AA27" s="2"/>
      <c r="AB27" s="2"/>
    </row>
    <row r="28" spans="1:28" x14ac:dyDescent="0.3">
      <c r="A28" s="24">
        <v>45676</v>
      </c>
      <c r="B28" s="15">
        <v>20</v>
      </c>
      <c r="C28" s="10">
        <v>3100</v>
      </c>
      <c r="D28" s="10">
        <v>13</v>
      </c>
      <c r="E28" s="10">
        <v>11</v>
      </c>
      <c r="F28" s="10">
        <v>30</v>
      </c>
      <c r="G28" s="10">
        <v>15</v>
      </c>
      <c r="H28" s="10">
        <v>250</v>
      </c>
      <c r="I28" s="10">
        <v>42</v>
      </c>
      <c r="J28" s="10">
        <v>75</v>
      </c>
      <c r="K28" s="10"/>
      <c r="L28" s="10">
        <v>2.71</v>
      </c>
      <c r="M28" s="10">
        <v>2.2000000000000002</v>
      </c>
      <c r="N28" s="4">
        <f t="shared" si="3"/>
        <v>9840</v>
      </c>
      <c r="O28" s="4">
        <f t="shared" si="4"/>
        <v>8.2100000000000009</v>
      </c>
      <c r="P28" s="33">
        <v>6519</v>
      </c>
      <c r="Q28" s="33">
        <f t="shared" si="12"/>
        <v>45633</v>
      </c>
      <c r="R28" s="6">
        <f t="shared" si="5"/>
        <v>9840</v>
      </c>
      <c r="S28" s="6">
        <f t="shared" si="6"/>
        <v>8210</v>
      </c>
      <c r="T28" s="35">
        <f t="shared" si="7"/>
        <v>9126.6</v>
      </c>
      <c r="U28" s="35">
        <f t="shared" si="13"/>
        <v>27176.6</v>
      </c>
      <c r="V28" s="29">
        <f t="shared" si="8"/>
        <v>6</v>
      </c>
      <c r="W28" s="29">
        <f t="shared" si="9"/>
        <v>19</v>
      </c>
      <c r="X28" s="29">
        <f t="shared" si="14"/>
        <v>5</v>
      </c>
      <c r="Y28" s="29">
        <f t="shared" si="15"/>
        <v>3</v>
      </c>
      <c r="Z28" s="29" t="str">
        <f t="shared" si="16"/>
        <v>4%</v>
      </c>
    </row>
    <row r="29" spans="1:28" x14ac:dyDescent="0.3">
      <c r="A29" s="24">
        <v>45683</v>
      </c>
      <c r="B29" s="15">
        <v>21</v>
      </c>
      <c r="C29" s="10">
        <v>1700</v>
      </c>
      <c r="D29" s="10">
        <v>8</v>
      </c>
      <c r="E29" s="10">
        <v>6</v>
      </c>
      <c r="F29" s="10">
        <v>10</v>
      </c>
      <c r="G29" s="10">
        <v>10</v>
      </c>
      <c r="H29" s="10">
        <v>200</v>
      </c>
      <c r="I29" s="10">
        <v>30</v>
      </c>
      <c r="J29" s="10">
        <v>75</v>
      </c>
      <c r="K29" s="10"/>
      <c r="L29" s="10">
        <v>3.01</v>
      </c>
      <c r="M29" s="10">
        <v>2.83</v>
      </c>
      <c r="N29" s="4">
        <f t="shared" si="3"/>
        <v>6075</v>
      </c>
      <c r="O29" s="4">
        <f t="shared" si="4"/>
        <v>10.085000000000001</v>
      </c>
      <c r="P29" s="33">
        <v>5476</v>
      </c>
      <c r="Q29" s="33">
        <f t="shared" si="12"/>
        <v>38332</v>
      </c>
      <c r="R29" s="6">
        <f t="shared" si="5"/>
        <v>6075</v>
      </c>
      <c r="S29" s="6">
        <f t="shared" si="6"/>
        <v>10085</v>
      </c>
      <c r="T29" s="35">
        <f t="shared" si="7"/>
        <v>7666.4000000000005</v>
      </c>
      <c r="U29" s="35">
        <f t="shared" si="13"/>
        <v>23826.400000000001</v>
      </c>
      <c r="V29" s="29">
        <f t="shared" si="8"/>
        <v>37</v>
      </c>
      <c r="W29" s="29">
        <f t="shared" si="9"/>
        <v>9</v>
      </c>
      <c r="X29" s="29">
        <f t="shared" si="14"/>
        <v>11</v>
      </c>
      <c r="Y29" s="29">
        <f t="shared" si="15"/>
        <v>9</v>
      </c>
      <c r="Z29" s="29" t="str">
        <f t="shared" si="16"/>
        <v>14%</v>
      </c>
    </row>
    <row r="30" spans="1:28" x14ac:dyDescent="0.3">
      <c r="A30" s="24">
        <v>45690</v>
      </c>
      <c r="B30" s="15">
        <v>22</v>
      </c>
      <c r="C30" s="10">
        <v>0</v>
      </c>
      <c r="D30" s="10">
        <v>7</v>
      </c>
      <c r="E30" s="10">
        <v>10</v>
      </c>
      <c r="F30" s="10">
        <v>20</v>
      </c>
      <c r="G30" s="10">
        <v>15</v>
      </c>
      <c r="H30" s="10">
        <v>0</v>
      </c>
      <c r="I30" s="10">
        <v>8</v>
      </c>
      <c r="J30" s="10">
        <v>75</v>
      </c>
      <c r="K30" s="10"/>
      <c r="L30" s="10">
        <v>0</v>
      </c>
      <c r="M30" s="10">
        <v>0</v>
      </c>
      <c r="N30" s="4">
        <f t="shared" si="3"/>
        <v>3155</v>
      </c>
      <c r="O30" s="4">
        <f t="shared" si="4"/>
        <v>0</v>
      </c>
      <c r="P30" s="33">
        <v>9634</v>
      </c>
      <c r="Q30" s="33">
        <f t="shared" si="12"/>
        <v>67438</v>
      </c>
      <c r="R30" s="6">
        <f t="shared" si="5"/>
        <v>3155</v>
      </c>
      <c r="S30" s="6">
        <f t="shared" si="6"/>
        <v>0</v>
      </c>
      <c r="T30" s="35">
        <f t="shared" si="7"/>
        <v>13487.6</v>
      </c>
      <c r="U30" s="35">
        <f t="shared" si="13"/>
        <v>16642.599999999999</v>
      </c>
      <c r="V30" s="29">
        <f t="shared" si="8"/>
        <v>56</v>
      </c>
      <c r="W30" s="29">
        <f t="shared" si="9"/>
        <v>59</v>
      </c>
      <c r="X30" s="29">
        <f t="shared" si="14"/>
        <v>1</v>
      </c>
      <c r="Y30" s="29">
        <f t="shared" si="15"/>
        <v>46</v>
      </c>
      <c r="Z30" s="29" t="str">
        <f t="shared" si="16"/>
        <v>78%</v>
      </c>
    </row>
    <row r="31" spans="1:28" x14ac:dyDescent="0.3">
      <c r="A31" s="24">
        <v>45697</v>
      </c>
      <c r="B31" s="15">
        <v>23</v>
      </c>
      <c r="C31" s="10">
        <v>1200</v>
      </c>
      <c r="D31" s="10">
        <v>13</v>
      </c>
      <c r="E31" s="10">
        <v>12</v>
      </c>
      <c r="F31" s="10">
        <v>40</v>
      </c>
      <c r="G31" s="10">
        <v>40</v>
      </c>
      <c r="H31" s="10">
        <v>200</v>
      </c>
      <c r="I31" s="10">
        <v>40</v>
      </c>
      <c r="J31" s="10">
        <v>75</v>
      </c>
      <c r="K31" s="10"/>
      <c r="L31" s="10">
        <v>1.71</v>
      </c>
      <c r="M31" s="10">
        <v>1.1000000000000001</v>
      </c>
      <c r="N31" s="4">
        <f t="shared" si="3"/>
        <v>9295</v>
      </c>
      <c r="O31" s="4">
        <f t="shared" si="4"/>
        <v>4.46</v>
      </c>
      <c r="P31" s="33">
        <v>6345</v>
      </c>
      <c r="Q31" s="33">
        <f t="shared" si="12"/>
        <v>44415</v>
      </c>
      <c r="R31" s="6">
        <f t="shared" si="5"/>
        <v>9295</v>
      </c>
      <c r="S31" s="6">
        <f t="shared" si="6"/>
        <v>4460</v>
      </c>
      <c r="T31" s="35">
        <f t="shared" si="7"/>
        <v>8883</v>
      </c>
      <c r="U31" s="35">
        <f t="shared" si="13"/>
        <v>22638</v>
      </c>
      <c r="V31" s="37">
        <f t="shared" si="8"/>
        <v>12</v>
      </c>
      <c r="W31" s="37">
        <f t="shared" si="9"/>
        <v>50</v>
      </c>
      <c r="X31" s="37">
        <f t="shared" si="14"/>
        <v>6</v>
      </c>
      <c r="Y31" s="37">
        <f t="shared" si="15"/>
        <v>16</v>
      </c>
      <c r="Z31" s="37" t="str">
        <f t="shared" si="16"/>
        <v>26%</v>
      </c>
    </row>
    <row r="32" spans="1:28" x14ac:dyDescent="0.3">
      <c r="A32" s="24">
        <v>45704</v>
      </c>
      <c r="B32" s="15">
        <v>24</v>
      </c>
      <c r="C32" s="10">
        <v>2400</v>
      </c>
      <c r="D32" s="10">
        <v>11</v>
      </c>
      <c r="E32" s="10">
        <v>5</v>
      </c>
      <c r="F32" s="10">
        <v>20</v>
      </c>
      <c r="G32" s="10">
        <v>10</v>
      </c>
      <c r="H32" s="10">
        <v>100</v>
      </c>
      <c r="I32" s="10">
        <v>20</v>
      </c>
      <c r="J32" s="10">
        <v>75</v>
      </c>
      <c r="K32" s="10"/>
      <c r="L32" s="10">
        <v>1.69</v>
      </c>
      <c r="M32" s="10">
        <v>1.2</v>
      </c>
      <c r="N32" s="4">
        <f t="shared" si="3"/>
        <v>6360</v>
      </c>
      <c r="O32" s="4">
        <f t="shared" si="4"/>
        <v>4.6899999999999995</v>
      </c>
      <c r="P32" s="33">
        <v>4803</v>
      </c>
      <c r="Q32" s="33">
        <f t="shared" si="12"/>
        <v>33621</v>
      </c>
      <c r="R32" s="6">
        <f t="shared" si="5"/>
        <v>6360</v>
      </c>
      <c r="S32" s="6">
        <f t="shared" si="6"/>
        <v>4689.9999999999991</v>
      </c>
      <c r="T32" s="35">
        <f t="shared" si="7"/>
        <v>6724.2000000000007</v>
      </c>
      <c r="U32" s="35">
        <f t="shared" si="13"/>
        <v>17774.2</v>
      </c>
      <c r="V32" s="37">
        <f t="shared" si="8"/>
        <v>35</v>
      </c>
      <c r="W32" s="37">
        <f t="shared" si="9"/>
        <v>48</v>
      </c>
      <c r="X32" s="37">
        <f t="shared" si="14"/>
        <v>16</v>
      </c>
      <c r="Y32" s="37">
        <f t="shared" si="15"/>
        <v>40</v>
      </c>
      <c r="Z32" s="37" t="str">
        <f t="shared" si="16"/>
        <v>68%</v>
      </c>
    </row>
    <row r="33" spans="1:26" x14ac:dyDescent="0.3">
      <c r="A33" s="24">
        <v>45711</v>
      </c>
      <c r="B33" s="15">
        <v>25</v>
      </c>
      <c r="C33" s="10">
        <v>376</v>
      </c>
      <c r="D33" s="10">
        <v>6</v>
      </c>
      <c r="E33" s="10">
        <v>10</v>
      </c>
      <c r="F33" s="10">
        <v>17</v>
      </c>
      <c r="G33" s="10">
        <v>17</v>
      </c>
      <c r="H33" s="10">
        <v>100</v>
      </c>
      <c r="I33" s="10">
        <v>30</v>
      </c>
      <c r="J33" s="10">
        <v>75</v>
      </c>
      <c r="K33" s="10"/>
      <c r="L33" s="10">
        <v>1.25</v>
      </c>
      <c r="M33" s="10">
        <v>1.3</v>
      </c>
      <c r="N33" s="4">
        <f t="shared" si="3"/>
        <v>4941</v>
      </c>
      <c r="O33" s="4">
        <f t="shared" si="4"/>
        <v>4.5</v>
      </c>
      <c r="P33" s="33">
        <v>4505</v>
      </c>
      <c r="Q33" s="33">
        <f t="shared" si="12"/>
        <v>31535</v>
      </c>
      <c r="R33" s="6">
        <f t="shared" si="5"/>
        <v>4941</v>
      </c>
      <c r="S33" s="6">
        <f t="shared" si="6"/>
        <v>4500</v>
      </c>
      <c r="T33" s="35">
        <f t="shared" si="7"/>
        <v>6307</v>
      </c>
      <c r="U33" s="35">
        <f t="shared" si="13"/>
        <v>15748</v>
      </c>
      <c r="V33" s="37">
        <f t="shared" si="8"/>
        <v>45</v>
      </c>
      <c r="W33" s="37">
        <f t="shared" si="9"/>
        <v>49</v>
      </c>
      <c r="X33" s="37">
        <f t="shared" si="14"/>
        <v>21</v>
      </c>
      <c r="Y33" s="37">
        <f t="shared" si="15"/>
        <v>53</v>
      </c>
      <c r="Z33" s="37" t="str">
        <f t="shared" si="16"/>
        <v>90%</v>
      </c>
    </row>
    <row r="34" spans="1:26" x14ac:dyDescent="0.3">
      <c r="A34" s="24">
        <v>45718</v>
      </c>
      <c r="B34" s="15">
        <v>26</v>
      </c>
      <c r="C34" s="10">
        <v>3300</v>
      </c>
      <c r="D34" s="10">
        <v>19</v>
      </c>
      <c r="E34" s="10">
        <v>5</v>
      </c>
      <c r="F34" s="10">
        <v>10</v>
      </c>
      <c r="G34" s="10">
        <v>10</v>
      </c>
      <c r="H34" s="10">
        <v>0</v>
      </c>
      <c r="I34" s="10">
        <v>20</v>
      </c>
      <c r="J34" s="10">
        <v>0</v>
      </c>
      <c r="K34" s="10"/>
      <c r="L34" s="10">
        <v>1.27</v>
      </c>
      <c r="M34" s="10">
        <v>0.79</v>
      </c>
      <c r="N34" s="4">
        <f t="shared" si="3"/>
        <v>6465</v>
      </c>
      <c r="O34" s="4">
        <f t="shared" si="4"/>
        <v>3.2450000000000001</v>
      </c>
      <c r="P34" s="33">
        <v>6080</v>
      </c>
      <c r="Q34" s="33">
        <f t="shared" si="12"/>
        <v>42560</v>
      </c>
      <c r="R34" s="6">
        <f t="shared" si="5"/>
        <v>6465</v>
      </c>
      <c r="S34" s="6">
        <f t="shared" si="6"/>
        <v>3245</v>
      </c>
      <c r="T34" s="35">
        <f t="shared" si="7"/>
        <v>8512</v>
      </c>
      <c r="U34" s="35">
        <f t="shared" si="13"/>
        <v>18222</v>
      </c>
      <c r="V34" s="37">
        <f t="shared" si="8"/>
        <v>34</v>
      </c>
      <c r="W34" s="37">
        <f t="shared" si="9"/>
        <v>53</v>
      </c>
      <c r="X34" s="37">
        <f t="shared" si="14"/>
        <v>8</v>
      </c>
      <c r="Y34" s="37">
        <f t="shared" si="15"/>
        <v>38</v>
      </c>
      <c r="Z34" s="37" t="str">
        <f t="shared" si="16"/>
        <v>64%</v>
      </c>
    </row>
    <row r="35" spans="1:26" x14ac:dyDescent="0.3">
      <c r="A35" s="24">
        <v>45725</v>
      </c>
      <c r="B35" s="15">
        <v>27</v>
      </c>
      <c r="C35" s="10">
        <v>618</v>
      </c>
      <c r="D35" s="10">
        <v>5</v>
      </c>
      <c r="E35" s="10">
        <v>5</v>
      </c>
      <c r="F35" s="10">
        <v>10</v>
      </c>
      <c r="G35" s="10">
        <v>10</v>
      </c>
      <c r="H35" s="10">
        <v>100</v>
      </c>
      <c r="I35" s="10">
        <v>10</v>
      </c>
      <c r="J35" s="10">
        <v>75</v>
      </c>
      <c r="K35" s="10">
        <v>40</v>
      </c>
      <c r="L35" s="10">
        <v>4.03</v>
      </c>
      <c r="M35" s="10">
        <v>0.88</v>
      </c>
      <c r="N35" s="4">
        <f t="shared" ref="N35:N40" si="17">C35*$C$4+D35*$D$4+E35*$E$4+F35*$F$4+G35*$G$4+H35*$H$4+I35*$I$4+J35*$J$4+$K$4*K35</f>
        <v>3568</v>
      </c>
      <c r="O35" s="4">
        <f t="shared" si="4"/>
        <v>6.23</v>
      </c>
      <c r="P35" s="33">
        <v>3634</v>
      </c>
      <c r="Q35" s="33">
        <f t="shared" si="12"/>
        <v>25438</v>
      </c>
      <c r="R35" s="6">
        <f t="shared" si="5"/>
        <v>3568</v>
      </c>
      <c r="S35" s="6">
        <f t="shared" si="6"/>
        <v>6230</v>
      </c>
      <c r="T35" s="35">
        <f t="shared" si="7"/>
        <v>5087.6000000000004</v>
      </c>
      <c r="U35" s="35">
        <f t="shared" si="13"/>
        <v>14885.6</v>
      </c>
      <c r="V35" s="37">
        <f t="shared" si="8"/>
        <v>54</v>
      </c>
      <c r="W35" s="37">
        <f t="shared" si="9"/>
        <v>30</v>
      </c>
      <c r="X35" s="37">
        <f t="shared" si="14"/>
        <v>39</v>
      </c>
      <c r="Y35" s="37">
        <f t="shared" si="15"/>
        <v>54</v>
      </c>
      <c r="Z35" s="37" t="str">
        <f t="shared" si="16"/>
        <v>92%</v>
      </c>
    </row>
    <row r="36" spans="1:26" x14ac:dyDescent="0.3">
      <c r="A36" s="24">
        <v>45732</v>
      </c>
      <c r="B36" s="15">
        <v>28</v>
      </c>
      <c r="C36" s="10">
        <v>2580</v>
      </c>
      <c r="D36" s="10">
        <v>13</v>
      </c>
      <c r="E36" s="10">
        <v>11</v>
      </c>
      <c r="F36" s="10">
        <v>20</v>
      </c>
      <c r="G36" s="10">
        <v>30</v>
      </c>
      <c r="H36" s="10">
        <v>100</v>
      </c>
      <c r="I36" s="10">
        <v>27</v>
      </c>
      <c r="J36" s="10">
        <v>155</v>
      </c>
      <c r="K36" s="10">
        <v>340</v>
      </c>
      <c r="L36" s="10">
        <v>3.92</v>
      </c>
      <c r="M36" s="10">
        <v>0</v>
      </c>
      <c r="N36" s="4">
        <f t="shared" si="17"/>
        <v>10345</v>
      </c>
      <c r="O36" s="4">
        <f t="shared" si="4"/>
        <v>3.92</v>
      </c>
      <c r="P36" s="33">
        <v>3713</v>
      </c>
      <c r="Q36" s="33">
        <f t="shared" si="12"/>
        <v>25991</v>
      </c>
      <c r="R36" s="6">
        <f t="shared" si="5"/>
        <v>10345</v>
      </c>
      <c r="S36" s="6">
        <f t="shared" si="6"/>
        <v>3920</v>
      </c>
      <c r="T36" s="35">
        <f t="shared" ref="T36:T37" si="18">Q36*$Q$4</f>
        <v>5198.2000000000007</v>
      </c>
      <c r="U36" s="35">
        <f t="shared" ref="U36:U37" si="19">SUM(R36:T36)</f>
        <v>19463.2</v>
      </c>
      <c r="V36" s="37">
        <f t="shared" ref="V36:V37" si="20">RANK(R36,$R$9:$R$10002)</f>
        <v>5</v>
      </c>
      <c r="W36" s="37">
        <f t="shared" ref="W36:W37" si="21">RANK(S36,$S$9:$S$10002)</f>
        <v>52</v>
      </c>
      <c r="X36" s="37">
        <f t="shared" ref="X36:X37" si="22">RANK(T36,$T$9:$T$10002)</f>
        <v>36</v>
      </c>
      <c r="Y36" s="37">
        <f t="shared" ref="Y36" si="23">RANK(U36,$U$9:$U$10002)</f>
        <v>29</v>
      </c>
      <c r="Z36" s="37" t="str">
        <f t="shared" ref="Z36" si="24">_xlfn.CONCAT(ROUND((1-PERCENTRANK($U$9:$U$10002,U36,2))*100,2),"%")</f>
        <v>49%</v>
      </c>
    </row>
    <row r="37" spans="1:26" x14ac:dyDescent="0.3">
      <c r="A37" s="24">
        <v>45739</v>
      </c>
      <c r="B37" s="15">
        <v>29</v>
      </c>
      <c r="C37" s="10">
        <f>479+2320</f>
        <v>2799</v>
      </c>
      <c r="D37" s="10">
        <v>9</v>
      </c>
      <c r="E37" s="10">
        <v>7</v>
      </c>
      <c r="F37" s="10">
        <v>20</v>
      </c>
      <c r="G37" s="10">
        <v>20</v>
      </c>
      <c r="H37" s="10">
        <v>50</v>
      </c>
      <c r="I37" s="10">
        <v>10</v>
      </c>
      <c r="J37" s="10">
        <v>100</v>
      </c>
      <c r="K37" s="10">
        <v>180</v>
      </c>
      <c r="L37" s="10">
        <v>3.06</v>
      </c>
      <c r="M37" s="10">
        <v>1</v>
      </c>
      <c r="N37" s="4">
        <f t="shared" si="17"/>
        <v>7554</v>
      </c>
      <c r="O37" s="4">
        <f t="shared" si="4"/>
        <v>5.5600000000000005</v>
      </c>
      <c r="P37" s="33">
        <v>4524</v>
      </c>
      <c r="Q37" s="33">
        <f t="shared" si="12"/>
        <v>31668</v>
      </c>
      <c r="R37" s="6">
        <f t="shared" si="5"/>
        <v>7554</v>
      </c>
      <c r="S37" s="6">
        <f t="shared" si="6"/>
        <v>5560.0000000000009</v>
      </c>
      <c r="T37" s="35">
        <f t="shared" si="18"/>
        <v>6333.6</v>
      </c>
      <c r="U37" s="35">
        <f t="shared" si="19"/>
        <v>19447.599999999999</v>
      </c>
      <c r="V37" s="37">
        <f t="shared" si="20"/>
        <v>25</v>
      </c>
      <c r="W37" s="37">
        <f t="shared" si="21"/>
        <v>36</v>
      </c>
      <c r="X37" s="37">
        <f t="shared" si="22"/>
        <v>20</v>
      </c>
      <c r="Y37" s="37">
        <f t="shared" ref="Y37" si="25">RANK(U37,$U$9:$U$10002)</f>
        <v>30</v>
      </c>
      <c r="Z37" s="37" t="str">
        <f t="shared" ref="Z37" si="26">_xlfn.CONCAT(ROUND((1-PERCENTRANK($U$9:$U$10002,U37,2))*100,2),"%")</f>
        <v>50%</v>
      </c>
    </row>
    <row r="38" spans="1:26" x14ac:dyDescent="0.3">
      <c r="A38" s="24">
        <v>45746</v>
      </c>
      <c r="B38" s="15">
        <v>30</v>
      </c>
      <c r="C38" s="10">
        <f>318+1362</f>
        <v>1680</v>
      </c>
      <c r="D38" s="10">
        <v>0</v>
      </c>
      <c r="E38" s="10">
        <v>0</v>
      </c>
      <c r="F38" s="10">
        <v>23</v>
      </c>
      <c r="G38" s="10">
        <v>15</v>
      </c>
      <c r="H38" s="10">
        <v>100</v>
      </c>
      <c r="I38" s="10">
        <v>10</v>
      </c>
      <c r="J38" s="10">
        <v>80</v>
      </c>
      <c r="K38" s="10">
        <v>160</v>
      </c>
      <c r="L38" s="10">
        <v>2.99</v>
      </c>
      <c r="M38" s="10">
        <v>0.86</v>
      </c>
      <c r="N38" s="4">
        <f t="shared" si="17"/>
        <v>5500</v>
      </c>
      <c r="O38" s="4">
        <f t="shared" ref="O38" si="27">L38*$L$4+M38*$M$4</f>
        <v>5.1400000000000006</v>
      </c>
      <c r="P38" s="33">
        <v>5443</v>
      </c>
      <c r="Q38" s="33">
        <f t="shared" ref="Q38" si="28">P38*7</f>
        <v>38101</v>
      </c>
      <c r="R38" s="6">
        <f t="shared" ref="R38" si="29">N38*$N$4</f>
        <v>5500</v>
      </c>
      <c r="S38" s="6">
        <f t="shared" ref="S38" si="30">O38*$O$4</f>
        <v>5140.0000000000009</v>
      </c>
      <c r="T38" s="35">
        <f t="shared" ref="T38" si="31">Q38*$Q$4</f>
        <v>7620.2000000000007</v>
      </c>
      <c r="U38" s="35">
        <f t="shared" ref="U38" si="32">SUM(R38:T38)</f>
        <v>18260.2</v>
      </c>
      <c r="V38" s="37">
        <f t="shared" ref="V38" si="33">RANK(R38,$R$9:$R$10002)</f>
        <v>38</v>
      </c>
      <c r="W38" s="37">
        <f t="shared" ref="W38" si="34">RANK(S38,$S$9:$S$10002)</f>
        <v>45</v>
      </c>
      <c r="X38" s="37">
        <f t="shared" ref="X38" si="35">RANK(T38,$T$9:$T$10002)</f>
        <v>12</v>
      </c>
      <c r="Y38" s="37">
        <f t="shared" ref="Y38" si="36">RANK(U38,$U$9:$U$10002)</f>
        <v>37</v>
      </c>
      <c r="Z38" s="37" t="str">
        <f t="shared" ref="Z38" si="37">_xlfn.CONCAT(ROUND((1-PERCENTRANK($U$9:$U$10002,U38,2))*100,2),"%")</f>
        <v>63%</v>
      </c>
    </row>
    <row r="39" spans="1:26" x14ac:dyDescent="0.3">
      <c r="A39" s="24">
        <v>45753</v>
      </c>
      <c r="B39" s="15">
        <v>31</v>
      </c>
      <c r="C39" s="10">
        <f>467+2120</f>
        <v>2587</v>
      </c>
      <c r="D39" s="10">
        <v>13</v>
      </c>
      <c r="E39" s="10">
        <v>10</v>
      </c>
      <c r="F39" s="10">
        <v>27</v>
      </c>
      <c r="G39" s="10">
        <v>15</v>
      </c>
      <c r="H39" s="10">
        <v>150</v>
      </c>
      <c r="I39" s="10">
        <v>20</v>
      </c>
      <c r="J39" s="10">
        <v>80</v>
      </c>
      <c r="K39" s="10">
        <v>180</v>
      </c>
      <c r="L39" s="10">
        <v>2.99</v>
      </c>
      <c r="M39" s="10">
        <v>0.81</v>
      </c>
      <c r="N39" s="4">
        <f t="shared" si="17"/>
        <v>8597</v>
      </c>
      <c r="O39" s="4">
        <f t="shared" ref="O39:O40" si="38">L39*$L$4+M39*$M$4</f>
        <v>5.0150000000000006</v>
      </c>
      <c r="P39" s="33">
        <v>2770</v>
      </c>
      <c r="Q39" s="33">
        <f t="shared" ref="Q39:Q40" si="39">P39*7</f>
        <v>19390</v>
      </c>
      <c r="R39" s="6">
        <f t="shared" ref="R39:R40" si="40">N39*$N$4</f>
        <v>8597</v>
      </c>
      <c r="S39" s="6">
        <f t="shared" ref="S39:S40" si="41">O39*$O$4</f>
        <v>5015.0000000000009</v>
      </c>
      <c r="T39" s="35">
        <f t="shared" ref="T39" si="42">Q39*$Q$4</f>
        <v>3878</v>
      </c>
      <c r="U39" s="35">
        <f t="shared" ref="U39" si="43">SUM(R39:T39)</f>
        <v>17490</v>
      </c>
      <c r="V39" s="37">
        <f t="shared" ref="V39" si="44">RANK(R39,$R$9:$R$10002)</f>
        <v>15</v>
      </c>
      <c r="W39" s="37">
        <f t="shared" ref="W39" si="45">RANK(S39,$S$9:$S$10002)</f>
        <v>46</v>
      </c>
      <c r="X39" s="37">
        <f t="shared" ref="X39" si="46">RANK(T39,$T$9:$T$10002)</f>
        <v>52</v>
      </c>
      <c r="Y39" s="37">
        <f t="shared" ref="Y39" si="47">RANK(U39,$U$9:$U$10002)</f>
        <v>42</v>
      </c>
      <c r="Z39" s="37" t="str">
        <f t="shared" ref="Z39" si="48">_xlfn.CONCAT(ROUND((1-PERCENTRANK($U$9:$U$10002,U39,2))*100,2),"%")</f>
        <v>71%</v>
      </c>
    </row>
    <row r="40" spans="1:26" x14ac:dyDescent="0.3">
      <c r="A40" s="24">
        <v>45760</v>
      </c>
      <c r="B40" s="15">
        <v>32</v>
      </c>
      <c r="C40" s="10">
        <v>0</v>
      </c>
      <c r="D40" s="10">
        <v>18</v>
      </c>
      <c r="E40" s="10">
        <v>5</v>
      </c>
      <c r="F40" s="10">
        <v>10</v>
      </c>
      <c r="G40" s="10">
        <v>5</v>
      </c>
      <c r="H40" s="10">
        <v>100</v>
      </c>
      <c r="I40" s="10">
        <v>13</v>
      </c>
      <c r="J40" s="10">
        <v>0</v>
      </c>
      <c r="K40" s="10">
        <v>0</v>
      </c>
      <c r="L40" s="10">
        <v>4.32</v>
      </c>
      <c r="M40" s="10">
        <v>2</v>
      </c>
      <c r="N40" s="4">
        <f t="shared" si="17"/>
        <v>3040</v>
      </c>
      <c r="O40" s="4">
        <f t="shared" si="38"/>
        <v>9.32</v>
      </c>
      <c r="P40" s="33">
        <v>3552</v>
      </c>
      <c r="Q40" s="33">
        <f t="shared" si="39"/>
        <v>24864</v>
      </c>
      <c r="R40" s="6">
        <f t="shared" si="40"/>
        <v>3040</v>
      </c>
      <c r="S40" s="6">
        <f t="shared" si="41"/>
        <v>9320</v>
      </c>
      <c r="T40" s="35">
        <f t="shared" ref="T40" si="49">Q40*$Q$4</f>
        <v>4972.8</v>
      </c>
      <c r="U40" s="35">
        <f t="shared" ref="U40" si="50">SUM(R40:T40)</f>
        <v>17332.8</v>
      </c>
      <c r="V40" s="37">
        <f t="shared" ref="V40" si="51">RANK(R40,$R$9:$R$10002)</f>
        <v>58</v>
      </c>
      <c r="W40" s="37">
        <f t="shared" ref="W40" si="52">RANK(S40,$S$9:$S$10002)</f>
        <v>16</v>
      </c>
      <c r="X40" s="37">
        <f t="shared" ref="X40" si="53">RANK(T40,$T$9:$T$10002)</f>
        <v>41</v>
      </c>
      <c r="Y40" s="37">
        <f t="shared" ref="Y40" si="54">RANK(U40,$U$9:$U$10002)</f>
        <v>44</v>
      </c>
      <c r="Z40" s="37" t="str">
        <f t="shared" ref="Z40" si="55">_xlfn.CONCAT(ROUND((1-PERCENTRANK($U$9:$U$10002,U40,2))*100,2),"%")</f>
        <v>75%</v>
      </c>
    </row>
    <row r="41" spans="1:26" x14ac:dyDescent="0.3">
      <c r="A41" s="24">
        <v>45767</v>
      </c>
      <c r="B41" s="15">
        <v>33</v>
      </c>
      <c r="C41" s="10">
        <v>2490</v>
      </c>
      <c r="D41" s="10">
        <v>11</v>
      </c>
      <c r="E41" s="10">
        <v>10</v>
      </c>
      <c r="F41" s="10">
        <v>23</v>
      </c>
      <c r="G41" s="10">
        <v>13</v>
      </c>
      <c r="H41" s="10">
        <v>150</v>
      </c>
      <c r="I41" s="10">
        <v>22</v>
      </c>
      <c r="J41" s="10">
        <v>100</v>
      </c>
      <c r="K41" s="10">
        <v>100</v>
      </c>
      <c r="L41" s="10">
        <v>4.7699999999999996</v>
      </c>
      <c r="M41" s="10">
        <v>1.2</v>
      </c>
      <c r="N41" s="4">
        <f t="shared" ref="N41" si="56">C41*$C$4+D41*$D$4+E41*$E$4+F41*$F$4+G41*$G$4+H41*$H$4+I41*$I$4+J41*$J$4+$K$4*K41</f>
        <v>7910</v>
      </c>
      <c r="O41" s="4">
        <f t="shared" ref="O41" si="57">L41*$L$4+M41*$M$4</f>
        <v>7.77</v>
      </c>
      <c r="P41" s="33">
        <v>7082</v>
      </c>
      <c r="Q41" s="33">
        <f t="shared" ref="Q41" si="58">P41*7</f>
        <v>49574</v>
      </c>
      <c r="R41" s="6">
        <f t="shared" ref="R41" si="59">N41*$N$4</f>
        <v>7910</v>
      </c>
      <c r="S41" s="6">
        <f t="shared" ref="S41" si="60">O41*$O$4</f>
        <v>7770</v>
      </c>
      <c r="T41" s="35">
        <f t="shared" ref="T41" si="61">Q41*$Q$4</f>
        <v>9914.8000000000011</v>
      </c>
      <c r="U41" s="35">
        <f t="shared" ref="U41" si="62">SUM(R41:T41)</f>
        <v>25594.800000000003</v>
      </c>
      <c r="V41" s="37">
        <f t="shared" ref="V41" si="63">RANK(R41,$R$9:$R$10002)</f>
        <v>22</v>
      </c>
      <c r="W41" s="37">
        <f t="shared" ref="W41" si="64">RANK(S41,$S$9:$S$10002)</f>
        <v>21</v>
      </c>
      <c r="X41" s="37">
        <f t="shared" ref="X41" si="65">RANK(T41,$T$9:$T$10002)</f>
        <v>3</v>
      </c>
      <c r="Y41" s="37">
        <f t="shared" ref="Y41" si="66">RANK(U41,$U$9:$U$10002)</f>
        <v>4</v>
      </c>
      <c r="Z41" s="37" t="str">
        <f t="shared" ref="Z41" si="67">_xlfn.CONCAT(ROUND((1-PERCENTRANK($U$9:$U$10002,U41,2))*100,2),"%")</f>
        <v>6%</v>
      </c>
    </row>
    <row r="42" spans="1:26" x14ac:dyDescent="0.3">
      <c r="A42" s="24">
        <v>45774</v>
      </c>
      <c r="B42" s="15">
        <v>34</v>
      </c>
      <c r="C42" s="10">
        <f>230+1050</f>
        <v>1280</v>
      </c>
      <c r="D42" s="10">
        <v>11</v>
      </c>
      <c r="E42" s="10">
        <v>10</v>
      </c>
      <c r="F42" s="10">
        <v>10</v>
      </c>
      <c r="G42" s="10">
        <v>0</v>
      </c>
      <c r="H42" s="10">
        <v>100</v>
      </c>
      <c r="I42" s="10">
        <v>20</v>
      </c>
      <c r="J42" s="10">
        <v>100</v>
      </c>
      <c r="K42" s="10">
        <v>100</v>
      </c>
      <c r="L42" s="10">
        <v>3.35</v>
      </c>
      <c r="M42" s="10">
        <v>1.07</v>
      </c>
      <c r="N42" s="4">
        <f t="shared" ref="N42" si="68">C42*$C$4+D42*$D$4+E42*$E$4+F42*$F$4+G42*$G$4+H42*$H$4+I42*$I$4+J42*$J$4+$K$4*K42</f>
        <v>5190</v>
      </c>
      <c r="O42" s="4">
        <f t="shared" ref="O42" si="69">L42*$L$4+M42*$M$4</f>
        <v>6.0250000000000004</v>
      </c>
      <c r="P42" s="33">
        <v>4232</v>
      </c>
      <c r="Q42" s="33">
        <f t="shared" ref="Q42" si="70">P42*7</f>
        <v>29624</v>
      </c>
      <c r="R42" s="6">
        <f t="shared" ref="R42" si="71">N42*$N$4</f>
        <v>5190</v>
      </c>
      <c r="S42" s="6">
        <f t="shared" ref="S42" si="72">O42*$O$4</f>
        <v>6025</v>
      </c>
      <c r="T42" s="35">
        <f t="shared" ref="T42" si="73">Q42*$Q$4</f>
        <v>5924.8</v>
      </c>
      <c r="U42" s="35">
        <f t="shared" ref="U42" si="74">SUM(R42:T42)</f>
        <v>17139.8</v>
      </c>
      <c r="V42" s="37">
        <f t="shared" ref="V42" si="75">RANK(R42,$R$9:$R$10002)</f>
        <v>43</v>
      </c>
      <c r="W42" s="37">
        <f t="shared" ref="W42" si="76">RANK(S42,$S$9:$S$10002)</f>
        <v>31</v>
      </c>
      <c r="X42" s="37">
        <f t="shared" ref="X42" si="77">RANK(T42,$T$9:$T$10002)</f>
        <v>29</v>
      </c>
      <c r="Y42" s="37">
        <f t="shared" ref="Y42" si="78">RANK(U42,$U$9:$U$10002)</f>
        <v>45</v>
      </c>
      <c r="Z42" s="37" t="str">
        <f t="shared" ref="Z42" si="79">_xlfn.CONCAT(ROUND((1-PERCENTRANK($U$9:$U$10002,U42,2))*100,2),"%")</f>
        <v>76%</v>
      </c>
    </row>
    <row r="43" spans="1:26" x14ac:dyDescent="0.3">
      <c r="A43" s="24">
        <v>45781</v>
      </c>
      <c r="B43" s="15">
        <v>35</v>
      </c>
      <c r="C43" s="10">
        <f>1360+720</f>
        <v>2080</v>
      </c>
      <c r="D43" s="10">
        <v>11</v>
      </c>
      <c r="E43" s="10">
        <v>10</v>
      </c>
      <c r="F43" s="10">
        <v>30</v>
      </c>
      <c r="G43" s="10">
        <v>20</v>
      </c>
      <c r="H43" s="10">
        <v>200</v>
      </c>
      <c r="I43" s="10">
        <v>22</v>
      </c>
      <c r="J43" s="10">
        <v>80</v>
      </c>
      <c r="K43" s="10">
        <v>160</v>
      </c>
      <c r="L43" s="10">
        <v>3.19</v>
      </c>
      <c r="M43" s="10">
        <v>0.84</v>
      </c>
      <c r="N43" s="4">
        <f t="shared" ref="N43" si="80">C43*$C$4+D43*$D$4+E43*$E$4+F43*$F$4+G43*$G$4+H43*$H$4+I43*$I$4+J43*$J$4+$K$4*K43</f>
        <v>8580</v>
      </c>
      <c r="O43" s="4">
        <f t="shared" ref="O43" si="81">L43*$L$4+M43*$M$4</f>
        <v>5.29</v>
      </c>
      <c r="P43" s="33">
        <v>7423</v>
      </c>
      <c r="Q43" s="33">
        <f t="shared" ref="Q43" si="82">P43*7</f>
        <v>51961</v>
      </c>
      <c r="R43" s="6">
        <f t="shared" ref="R43" si="83">N43*$N$4</f>
        <v>8580</v>
      </c>
      <c r="S43" s="6">
        <f t="shared" ref="S43" si="84">O43*$O$4</f>
        <v>5290</v>
      </c>
      <c r="T43" s="35">
        <f t="shared" ref="T43" si="85">Q43*$Q$4</f>
        <v>10392.200000000001</v>
      </c>
      <c r="U43" s="35">
        <f t="shared" ref="U43" si="86">SUM(R43:T43)</f>
        <v>24262.2</v>
      </c>
      <c r="V43" s="37">
        <f t="shared" ref="V43" si="87">RANK(R43,$R$9:$R$10002)</f>
        <v>16</v>
      </c>
      <c r="W43" s="37">
        <f t="shared" ref="W43" si="88">RANK(S43,$S$9:$S$10002)</f>
        <v>42</v>
      </c>
      <c r="X43" s="37">
        <f t="shared" ref="X43" si="89">RANK(T43,$T$9:$T$10002)</f>
        <v>2</v>
      </c>
      <c r="Y43" s="37">
        <f t="shared" ref="Y43" si="90">RANK(U43,$U$9:$U$10002)</f>
        <v>7</v>
      </c>
      <c r="Z43" s="37" t="str">
        <f t="shared" ref="Z43" si="91">_xlfn.CONCAT(ROUND((1-PERCENTRANK($U$9:$U$10002,U43,2))*100,2),"%")</f>
        <v>11%</v>
      </c>
    </row>
    <row r="44" spans="1:26" x14ac:dyDescent="0.3">
      <c r="A44" s="24">
        <v>45788</v>
      </c>
      <c r="B44" s="15">
        <v>36</v>
      </c>
      <c r="C44" s="10">
        <v>0</v>
      </c>
      <c r="D44" s="10">
        <v>0</v>
      </c>
      <c r="E44" s="10">
        <v>5</v>
      </c>
      <c r="F44" s="10">
        <v>20</v>
      </c>
      <c r="G44" s="10">
        <v>10</v>
      </c>
      <c r="H44" s="10">
        <v>100</v>
      </c>
      <c r="I44" s="10">
        <v>20</v>
      </c>
      <c r="J44" s="10">
        <v>80</v>
      </c>
      <c r="K44" s="10">
        <v>100</v>
      </c>
      <c r="L44" s="10">
        <v>2.5299999999999998</v>
      </c>
      <c r="M44" s="10">
        <v>0</v>
      </c>
      <c r="N44" s="4">
        <f t="shared" ref="N44" si="92">C44*$C$4+D44*$D$4+E44*$E$4+F44*$F$4+G44*$G$4+H44*$H$4+I44*$I$4+J44*$J$4+$K$4*K44</f>
        <v>3825</v>
      </c>
      <c r="O44" s="4">
        <f t="shared" ref="O44" si="93">L44*$L$4+M44*$M$4</f>
        <v>2.5299999999999998</v>
      </c>
      <c r="P44" s="33">
        <v>4478</v>
      </c>
      <c r="Q44" s="33">
        <f t="shared" ref="Q44" si="94">P44*7</f>
        <v>31346</v>
      </c>
      <c r="R44" s="6">
        <f t="shared" ref="R44" si="95">N44*$N$4</f>
        <v>3825</v>
      </c>
      <c r="S44" s="6">
        <f t="shared" ref="S44" si="96">O44*$O$4</f>
        <v>2530</v>
      </c>
      <c r="T44" s="35">
        <f t="shared" ref="T44" si="97">Q44*$Q$4</f>
        <v>6269.2000000000007</v>
      </c>
      <c r="U44" s="35">
        <f t="shared" ref="U44" si="98">SUM(R44:T44)</f>
        <v>12624.2</v>
      </c>
      <c r="V44" s="37">
        <f t="shared" ref="V44" si="99">RANK(R44,$R$9:$R$10002)</f>
        <v>52</v>
      </c>
      <c r="W44" s="37">
        <f t="shared" ref="W44" si="100">RANK(S44,$S$9:$S$10002)</f>
        <v>56</v>
      </c>
      <c r="X44" s="37">
        <f t="shared" ref="X44" si="101">RANK(T44,$T$9:$T$10002)</f>
        <v>22</v>
      </c>
      <c r="Y44" s="37">
        <f t="shared" ref="Y44" si="102">RANK(U44,$U$9:$U$10002)</f>
        <v>57</v>
      </c>
      <c r="Z44" s="37" t="str">
        <f t="shared" ref="Z44" si="103">_xlfn.CONCAT(ROUND((1-PERCENTRANK($U$9:$U$10002,U44,2))*100,2),"%")</f>
        <v>97%</v>
      </c>
    </row>
    <row r="45" spans="1:26" x14ac:dyDescent="0.3">
      <c r="A45" s="24">
        <v>45795</v>
      </c>
      <c r="B45" s="15">
        <v>37</v>
      </c>
      <c r="C45" s="10">
        <f>434+2700</f>
        <v>3134</v>
      </c>
      <c r="D45" s="10">
        <v>16</v>
      </c>
      <c r="E45" s="10">
        <v>15</v>
      </c>
      <c r="F45" s="10">
        <v>30</v>
      </c>
      <c r="G45" s="10">
        <v>20</v>
      </c>
      <c r="H45" s="10">
        <v>150</v>
      </c>
      <c r="I45" s="10">
        <v>20</v>
      </c>
      <c r="J45" s="10">
        <v>80</v>
      </c>
      <c r="K45" s="10">
        <v>80</v>
      </c>
      <c r="L45" s="10">
        <v>1.35</v>
      </c>
      <c r="M45" s="10">
        <v>0.52</v>
      </c>
      <c r="N45" s="4">
        <f t="shared" ref="N45:N46" si="104">C45*$C$4+D45*$D$4+E45*$E$4+F45*$F$4+G45*$G$4+H45*$H$4+I45*$I$4+J45*$J$4+$K$4*K45</f>
        <v>9419</v>
      </c>
      <c r="O45" s="4">
        <f t="shared" ref="O45:O46" si="105">L45*$L$4+M45*$M$4</f>
        <v>2.6500000000000004</v>
      </c>
      <c r="P45" s="33">
        <v>4554</v>
      </c>
      <c r="Q45" s="33">
        <f t="shared" ref="Q45:Q46" si="106">P45*7</f>
        <v>31878</v>
      </c>
      <c r="R45" s="6">
        <f t="shared" ref="R45:R46" si="107">N45*$N$4</f>
        <v>9419</v>
      </c>
      <c r="S45" s="6">
        <f t="shared" ref="S45:S46" si="108">O45*$O$4</f>
        <v>2650.0000000000005</v>
      </c>
      <c r="T45" s="35">
        <f t="shared" ref="T45:T46" si="109">Q45*$Q$4</f>
        <v>6375.6</v>
      </c>
      <c r="U45" s="35">
        <f t="shared" ref="U45:U46" si="110">SUM(R45:T45)</f>
        <v>18444.599999999999</v>
      </c>
      <c r="V45" s="37">
        <f t="shared" ref="V45" si="111">RANK(R45,$R$9:$R$10002)</f>
        <v>10</v>
      </c>
      <c r="W45" s="37">
        <f t="shared" ref="W45" si="112">RANK(S45,$S$9:$S$10002)</f>
        <v>55</v>
      </c>
      <c r="X45" s="37">
        <f t="shared" ref="X45" si="113">RANK(T45,$T$9:$T$10002)</f>
        <v>19</v>
      </c>
      <c r="Y45" s="37">
        <f t="shared" ref="Y45" si="114">RANK(U45,$U$9:$U$10002)</f>
        <v>36</v>
      </c>
      <c r="Z45" s="37" t="str">
        <f t="shared" ref="Z45" si="115">_xlfn.CONCAT(ROUND((1-PERCENTRANK($U$9:$U$10002,U45,2))*100,2),"%")</f>
        <v>61%</v>
      </c>
    </row>
    <row r="46" spans="1:26" x14ac:dyDescent="0.3">
      <c r="A46" s="24">
        <v>45802</v>
      </c>
      <c r="B46" s="15">
        <v>38</v>
      </c>
      <c r="C46" s="10">
        <f>1030+780</f>
        <v>1810</v>
      </c>
      <c r="D46" s="10">
        <v>5</v>
      </c>
      <c r="E46" s="10">
        <v>5</v>
      </c>
      <c r="F46" s="10">
        <v>10</v>
      </c>
      <c r="G46" s="10">
        <v>5</v>
      </c>
      <c r="H46" s="10">
        <v>100</v>
      </c>
      <c r="I46" s="10">
        <v>20</v>
      </c>
      <c r="J46" s="10">
        <v>0</v>
      </c>
      <c r="K46" s="10">
        <v>0</v>
      </c>
      <c r="L46" s="10">
        <v>2.1800000000000002</v>
      </c>
      <c r="M46" s="10">
        <v>1.33</v>
      </c>
      <c r="N46" s="4">
        <f t="shared" si="104"/>
        <v>4385</v>
      </c>
      <c r="O46" s="4">
        <f t="shared" si="105"/>
        <v>5.5050000000000008</v>
      </c>
      <c r="P46" s="33">
        <v>4326</v>
      </c>
      <c r="Q46" s="33">
        <f t="shared" si="106"/>
        <v>30282</v>
      </c>
      <c r="R46" s="6">
        <f t="shared" si="107"/>
        <v>4385</v>
      </c>
      <c r="S46" s="6">
        <f t="shared" si="108"/>
        <v>5505.0000000000009</v>
      </c>
      <c r="T46" s="35">
        <f t="shared" si="109"/>
        <v>6056.4000000000005</v>
      </c>
      <c r="U46" s="35">
        <f t="shared" si="110"/>
        <v>15946.400000000001</v>
      </c>
      <c r="V46" s="37">
        <f t="shared" ref="V46" si="116">RANK(R46,$R$9:$R$10002)</f>
        <v>49</v>
      </c>
      <c r="W46" s="37">
        <f t="shared" ref="W46" si="117">RANK(S46,$S$9:$S$10002)</f>
        <v>39</v>
      </c>
      <c r="X46" s="37">
        <f t="shared" ref="X46" si="118">RANK(T46,$T$9:$T$10002)</f>
        <v>26</v>
      </c>
      <c r="Y46" s="37">
        <f t="shared" ref="Y46" si="119">RANK(U46,$U$9:$U$10002)</f>
        <v>51</v>
      </c>
      <c r="Z46" s="37" t="str">
        <f t="shared" ref="Z46" si="120">_xlfn.CONCAT(ROUND((1-PERCENTRANK($U$9:$U$10002,U46,2))*100,2),"%")</f>
        <v>87%</v>
      </c>
    </row>
    <row r="47" spans="1:26" x14ac:dyDescent="0.3">
      <c r="A47" s="24">
        <v>45809</v>
      </c>
      <c r="B47" s="15">
        <v>39</v>
      </c>
      <c r="C47" s="10">
        <f>30+2010+1150</f>
        <v>3190</v>
      </c>
      <c r="D47" s="10">
        <v>12</v>
      </c>
      <c r="E47" s="10">
        <v>10</v>
      </c>
      <c r="F47" s="10">
        <v>20</v>
      </c>
      <c r="G47" s="10">
        <v>20</v>
      </c>
      <c r="H47" s="10">
        <v>200</v>
      </c>
      <c r="I47" s="10">
        <v>20</v>
      </c>
      <c r="J47" s="10">
        <v>100</v>
      </c>
      <c r="K47" s="10">
        <v>100</v>
      </c>
      <c r="L47" s="10">
        <v>4.13</v>
      </c>
      <c r="M47" s="10">
        <v>1.21</v>
      </c>
      <c r="N47" s="4">
        <f t="shared" ref="N47" si="121">C47*$C$4+D47*$D$4+E47*$E$4+F47*$F$4+G47*$G$4+H47*$H$4+I47*$I$4+J47*$J$4+$K$4*K47</f>
        <v>9060</v>
      </c>
      <c r="O47" s="4">
        <f t="shared" ref="O47" si="122">L47*$L$4+M47*$M$4</f>
        <v>7.1549999999999994</v>
      </c>
      <c r="P47" s="33">
        <v>3332</v>
      </c>
      <c r="Q47" s="33">
        <f t="shared" ref="Q47" si="123">P47*7</f>
        <v>23324</v>
      </c>
      <c r="R47" s="6">
        <f t="shared" ref="R47" si="124">N47*$N$4</f>
        <v>9060</v>
      </c>
      <c r="S47" s="6">
        <f t="shared" ref="S47" si="125">O47*$O$4</f>
        <v>7154.9999999999991</v>
      </c>
      <c r="T47" s="35">
        <f t="shared" ref="T47" si="126">Q47*$Q$4</f>
        <v>4664.8</v>
      </c>
      <c r="U47" s="35">
        <f t="shared" ref="U47" si="127">SUM(R47:T47)</f>
        <v>20879.8</v>
      </c>
      <c r="V47" s="37">
        <f t="shared" ref="V47" si="128">RANK(R47,$R$9:$R$10002)</f>
        <v>13</v>
      </c>
      <c r="W47" s="37">
        <f t="shared" ref="W47" si="129">RANK(S47,$S$9:$S$10002)</f>
        <v>25</v>
      </c>
      <c r="X47" s="37">
        <f t="shared" ref="X47" si="130">RANK(T47,$T$9:$T$10002)</f>
        <v>44</v>
      </c>
      <c r="Y47" s="37">
        <f t="shared" ref="Y47" si="131">RANK(U47,$U$9:$U$10002)</f>
        <v>25</v>
      </c>
      <c r="Z47" s="37" t="str">
        <f t="shared" ref="Z47" si="132">_xlfn.CONCAT(ROUND((1-PERCENTRANK($U$9:$U$10002,U47,2))*100,2),"%")</f>
        <v>42%</v>
      </c>
    </row>
    <row r="48" spans="1:26" x14ac:dyDescent="0.3">
      <c r="A48" s="24">
        <v>45816</v>
      </c>
      <c r="B48" s="15">
        <v>40</v>
      </c>
      <c r="C48" s="10">
        <v>0</v>
      </c>
      <c r="D48" s="10">
        <v>5</v>
      </c>
      <c r="E48" s="10">
        <v>0</v>
      </c>
      <c r="F48" s="10">
        <v>10</v>
      </c>
      <c r="G48" s="10">
        <v>5</v>
      </c>
      <c r="H48" s="10">
        <v>50</v>
      </c>
      <c r="I48" s="10">
        <v>20</v>
      </c>
      <c r="J48" s="10">
        <v>0</v>
      </c>
      <c r="K48" s="10">
        <v>0</v>
      </c>
      <c r="L48" s="10">
        <v>4.2300000000000004</v>
      </c>
      <c r="M48" s="10">
        <v>0.49</v>
      </c>
      <c r="N48" s="4">
        <f t="shared" ref="N48" si="133">C48*$C$4+D48*$D$4+E48*$E$4+F48*$F$4+G48*$G$4+H48*$H$4+I48*$I$4+J48*$J$4+$K$4*K48</f>
        <v>2100</v>
      </c>
      <c r="O48" s="4">
        <f t="shared" ref="O48" si="134">L48*$L$4+M48*$M$4</f>
        <v>5.4550000000000001</v>
      </c>
      <c r="P48" s="33">
        <v>5129</v>
      </c>
      <c r="Q48" s="33">
        <f t="shared" ref="Q48" si="135">P48*7</f>
        <v>35903</v>
      </c>
      <c r="R48" s="6">
        <f t="shared" ref="R48" si="136">N48*$N$4</f>
        <v>2100</v>
      </c>
      <c r="S48" s="6">
        <f t="shared" ref="S48" si="137">O48*$O$4</f>
        <v>5455</v>
      </c>
      <c r="T48" s="35">
        <f t="shared" ref="T48" si="138">Q48*$Q$4</f>
        <v>7180.6</v>
      </c>
      <c r="U48" s="35">
        <f t="shared" ref="U48" si="139">SUM(R48:T48)</f>
        <v>14735.6</v>
      </c>
      <c r="V48" s="37">
        <f t="shared" ref="V48" si="140">RANK(R48,$R$9:$R$10002)</f>
        <v>59</v>
      </c>
      <c r="W48" s="37">
        <f t="shared" ref="W48" si="141">RANK(S48,$S$9:$S$10002)</f>
        <v>41</v>
      </c>
      <c r="X48" s="37">
        <f t="shared" ref="X48" si="142">RANK(T48,$T$9:$T$10002)</f>
        <v>15</v>
      </c>
      <c r="Y48" s="37">
        <f t="shared" ref="Y48" si="143">RANK(U48,$U$9:$U$10002)</f>
        <v>55</v>
      </c>
      <c r="Z48" s="37" t="str">
        <f t="shared" ref="Z48" si="144">_xlfn.CONCAT(ROUND((1-PERCENTRANK($U$9:$U$10002,U48,2))*100,2),"%")</f>
        <v>94%</v>
      </c>
    </row>
    <row r="49" spans="1:26" x14ac:dyDescent="0.3">
      <c r="A49" s="24">
        <v>45823</v>
      </c>
      <c r="B49" s="15">
        <v>41</v>
      </c>
      <c r="C49" s="10">
        <v>620</v>
      </c>
      <c r="D49" s="10">
        <v>0</v>
      </c>
      <c r="E49" s="10">
        <v>5</v>
      </c>
      <c r="F49" s="10">
        <v>0</v>
      </c>
      <c r="G49" s="10">
        <v>0</v>
      </c>
      <c r="H49" s="10">
        <v>200</v>
      </c>
      <c r="I49" s="10">
        <v>30</v>
      </c>
      <c r="J49" s="10">
        <v>60</v>
      </c>
      <c r="K49" s="10">
        <v>60</v>
      </c>
      <c r="L49" s="10">
        <v>4.7</v>
      </c>
      <c r="M49" s="10">
        <v>0.74</v>
      </c>
      <c r="N49" s="4">
        <f t="shared" ref="N49" si="145">C49*$C$4+D49*$D$4+E49*$E$4+F49*$F$4+G49*$G$4+H49*$H$4+I49*$I$4+J49*$J$4+$K$4*K49</f>
        <v>3795</v>
      </c>
      <c r="O49" s="4">
        <f t="shared" ref="O49" si="146">L49*$L$4+M49*$M$4</f>
        <v>6.5500000000000007</v>
      </c>
      <c r="P49" s="33">
        <v>4364</v>
      </c>
      <c r="Q49" s="33">
        <f t="shared" ref="Q49" si="147">P49*7</f>
        <v>30548</v>
      </c>
      <c r="R49" s="6">
        <f t="shared" ref="R49" si="148">N49*$N$4</f>
        <v>3795</v>
      </c>
      <c r="S49" s="6">
        <f t="shared" ref="S49" si="149">O49*$O$4</f>
        <v>6550.0000000000009</v>
      </c>
      <c r="T49" s="35">
        <f t="shared" ref="T49" si="150">Q49*$Q$4</f>
        <v>6109.6</v>
      </c>
      <c r="U49" s="35">
        <f t="shared" ref="U49" si="151">SUM(R49:T49)</f>
        <v>16454.599999999999</v>
      </c>
      <c r="V49" s="37">
        <f t="shared" ref="V49" si="152">RANK(R49,$R$9:$R$10002)</f>
        <v>53</v>
      </c>
      <c r="W49" s="37">
        <f t="shared" ref="W49" si="153">RANK(S49,$S$9:$S$10002)</f>
        <v>29</v>
      </c>
      <c r="X49" s="37">
        <f t="shared" ref="X49" si="154">RANK(T49,$T$9:$T$10002)</f>
        <v>24</v>
      </c>
      <c r="Y49" s="37">
        <f t="shared" ref="Y49" si="155">RANK(U49,$U$9:$U$10002)</f>
        <v>47</v>
      </c>
      <c r="Z49" s="37" t="str">
        <f t="shared" ref="Z49" si="156">_xlfn.CONCAT(ROUND((1-PERCENTRANK($U$9:$U$10002,U49,2))*100,2),"%")</f>
        <v>80%</v>
      </c>
    </row>
    <row r="50" spans="1:26" x14ac:dyDescent="0.3">
      <c r="A50" s="24">
        <v>45830</v>
      </c>
      <c r="B50" s="15">
        <v>42</v>
      </c>
      <c r="C50" s="10">
        <v>1056</v>
      </c>
      <c r="D50" s="10">
        <v>8</v>
      </c>
      <c r="E50" s="10">
        <v>5</v>
      </c>
      <c r="F50" s="10">
        <v>20</v>
      </c>
      <c r="G50" s="10">
        <v>10</v>
      </c>
      <c r="H50" s="10">
        <v>150</v>
      </c>
      <c r="I50" s="10">
        <v>10</v>
      </c>
      <c r="J50" s="10">
        <v>75</v>
      </c>
      <c r="K50" s="10">
        <v>75</v>
      </c>
      <c r="L50" s="10">
        <v>5.31</v>
      </c>
      <c r="M50" s="10">
        <v>1.71</v>
      </c>
      <c r="N50" s="4">
        <f t="shared" ref="N50:N55" si="157">C50*$C$4+D50*$D$4+E50*$E$4+F50*$F$4+G50*$G$4+H50*$H$4+I50*$I$4+J50*$J$4+$K$4*K50</f>
        <v>5011</v>
      </c>
      <c r="O50" s="4">
        <f t="shared" ref="O50" si="158">L50*$L$4+M50*$M$4</f>
        <v>9.5850000000000009</v>
      </c>
      <c r="P50" s="33">
        <v>5210</v>
      </c>
      <c r="Q50" s="33">
        <f t="shared" ref="Q50" si="159">P50*7</f>
        <v>36470</v>
      </c>
      <c r="R50" s="6">
        <f t="shared" ref="R50" si="160">N50*$N$4</f>
        <v>5011</v>
      </c>
      <c r="S50" s="6">
        <f t="shared" ref="S50" si="161">O50*$O$4</f>
        <v>9585</v>
      </c>
      <c r="T50" s="35">
        <f t="shared" ref="T50" si="162">Q50*$Q$4</f>
        <v>7294</v>
      </c>
      <c r="U50" s="35">
        <f t="shared" ref="U50" si="163">SUM(R50:T50)</f>
        <v>21890</v>
      </c>
      <c r="V50" s="37">
        <f t="shared" ref="V50" si="164">RANK(R50,$R$9:$R$10002)</f>
        <v>44</v>
      </c>
      <c r="W50" s="37">
        <f t="shared" ref="W50" si="165">RANK(S50,$S$9:$S$10002)</f>
        <v>13</v>
      </c>
      <c r="X50" s="37">
        <f t="shared" ref="X50" si="166">RANK(T50,$T$9:$T$10002)</f>
        <v>14</v>
      </c>
      <c r="Y50" s="37">
        <f t="shared" ref="Y50" si="167">RANK(U50,$U$9:$U$10002)</f>
        <v>19</v>
      </c>
      <c r="Z50" s="37" t="str">
        <f t="shared" ref="Z50" si="168">_xlfn.CONCAT(ROUND((1-PERCENTRANK($U$9:$U$10002,U50,2))*100,2),"%")</f>
        <v>32%</v>
      </c>
    </row>
    <row r="51" spans="1:26" x14ac:dyDescent="0.3">
      <c r="A51" s="24">
        <v>45837</v>
      </c>
      <c r="B51" s="15">
        <v>43</v>
      </c>
      <c r="C51" s="10">
        <v>1000</v>
      </c>
      <c r="D51" s="10">
        <v>0</v>
      </c>
      <c r="E51" s="10">
        <v>0</v>
      </c>
      <c r="F51" s="10">
        <v>10</v>
      </c>
      <c r="G51" s="10">
        <v>10</v>
      </c>
      <c r="H51" s="10">
        <v>0</v>
      </c>
      <c r="I51" s="10">
        <v>10</v>
      </c>
      <c r="J51" s="10">
        <v>75</v>
      </c>
      <c r="K51" s="10">
        <v>75</v>
      </c>
      <c r="L51" s="10">
        <v>1.96</v>
      </c>
      <c r="M51" s="10">
        <v>0</v>
      </c>
      <c r="N51" s="4">
        <f t="shared" si="157"/>
        <v>3100</v>
      </c>
      <c r="O51" s="4">
        <f t="shared" ref="O51" si="169">L51*$L$4+M51*$M$4</f>
        <v>1.96</v>
      </c>
      <c r="P51" s="33">
        <v>4363</v>
      </c>
      <c r="Q51" s="33">
        <f t="shared" ref="Q51" si="170">P51*7</f>
        <v>30541</v>
      </c>
      <c r="R51" s="6">
        <f t="shared" ref="R51" si="171">N51*$N$4</f>
        <v>3100</v>
      </c>
      <c r="S51" s="6">
        <f t="shared" ref="S51" si="172">O51*$O$4</f>
        <v>1960</v>
      </c>
      <c r="T51" s="35">
        <f t="shared" ref="T51" si="173">Q51*$Q$4</f>
        <v>6108.2000000000007</v>
      </c>
      <c r="U51" s="35">
        <f t="shared" ref="U51" si="174">SUM(R51:T51)</f>
        <v>11168.2</v>
      </c>
      <c r="V51" s="37">
        <f t="shared" ref="V51" si="175">RANK(R51,$R$9:$R$10002)</f>
        <v>57</v>
      </c>
      <c r="W51" s="37">
        <f t="shared" ref="W51" si="176">RANK(S51,$S$9:$S$10002)</f>
        <v>58</v>
      </c>
      <c r="X51" s="37">
        <f t="shared" ref="X51" si="177">RANK(T51,$T$9:$T$10002)</f>
        <v>25</v>
      </c>
      <c r="Y51" s="37">
        <f t="shared" ref="Y51" si="178">RANK(U51,$U$9:$U$10002)</f>
        <v>59</v>
      </c>
      <c r="Z51" s="37" t="str">
        <f t="shared" ref="Z51" si="179">_xlfn.CONCAT(ROUND((1-PERCENTRANK($U$9:$U$10002,U51,2))*100,2),"%")</f>
        <v>100%</v>
      </c>
    </row>
    <row r="52" spans="1:26" x14ac:dyDescent="0.3">
      <c r="A52" s="24">
        <v>45844</v>
      </c>
      <c r="B52" s="15">
        <v>44</v>
      </c>
      <c r="C52" s="10">
        <v>2450</v>
      </c>
      <c r="D52" s="10">
        <v>20</v>
      </c>
      <c r="E52" s="10">
        <v>10</v>
      </c>
      <c r="F52" s="10">
        <v>30</v>
      </c>
      <c r="G52" s="10">
        <v>21</v>
      </c>
      <c r="H52" s="10">
        <v>150</v>
      </c>
      <c r="I52" s="10">
        <v>20</v>
      </c>
      <c r="J52" s="10">
        <v>0</v>
      </c>
      <c r="K52" s="10">
        <v>0</v>
      </c>
      <c r="L52" s="10">
        <v>5.7</v>
      </c>
      <c r="M52" s="10">
        <v>1.52</v>
      </c>
      <c r="N52" s="4">
        <f t="shared" si="157"/>
        <v>8000</v>
      </c>
      <c r="O52" s="4">
        <f t="shared" ref="O52" si="180">L52*$L$4+M52*$M$4</f>
        <v>9.5</v>
      </c>
      <c r="P52" s="33">
        <v>2829</v>
      </c>
      <c r="Q52" s="33">
        <f t="shared" ref="Q52" si="181">P52*7</f>
        <v>19803</v>
      </c>
      <c r="R52" s="6">
        <f t="shared" ref="R52" si="182">N52*$N$4</f>
        <v>8000</v>
      </c>
      <c r="S52" s="6">
        <f t="shared" ref="S52" si="183">O52*$O$4</f>
        <v>9500</v>
      </c>
      <c r="T52" s="35">
        <f t="shared" ref="T52" si="184">Q52*$Q$4</f>
        <v>3960.6000000000004</v>
      </c>
      <c r="U52" s="35">
        <f t="shared" ref="U52" si="185">SUM(R52:T52)</f>
        <v>21460.6</v>
      </c>
      <c r="V52" s="37">
        <f t="shared" ref="V52" si="186">RANK(R52,$R$9:$R$10002)</f>
        <v>20</v>
      </c>
      <c r="W52" s="37">
        <f t="shared" ref="W52" si="187">RANK(S52,$S$9:$S$10002)</f>
        <v>15</v>
      </c>
      <c r="X52" s="37">
        <f t="shared" ref="X52" si="188">RANK(T52,$T$9:$T$10002)</f>
        <v>49</v>
      </c>
      <c r="Y52" s="37">
        <f t="shared" ref="Y52" si="189">RANK(U52,$U$9:$U$10002)</f>
        <v>21</v>
      </c>
      <c r="Z52" s="37" t="str">
        <f t="shared" ref="Z52" si="190">_xlfn.CONCAT(ROUND((1-PERCENTRANK($U$9:$U$10002,U52,2))*100,2),"%")</f>
        <v>35%</v>
      </c>
    </row>
    <row r="53" spans="1:26" x14ac:dyDescent="0.3">
      <c r="A53" s="24">
        <v>45851</v>
      </c>
      <c r="B53" s="15">
        <v>45</v>
      </c>
      <c r="C53" s="10">
        <f>230+990</f>
        <v>1220</v>
      </c>
      <c r="D53" s="10">
        <v>2</v>
      </c>
      <c r="E53" s="10">
        <v>5</v>
      </c>
      <c r="F53" s="10">
        <v>10</v>
      </c>
      <c r="G53" s="10">
        <v>5</v>
      </c>
      <c r="H53" s="10">
        <v>100</v>
      </c>
      <c r="I53" s="10">
        <v>10</v>
      </c>
      <c r="J53" s="10">
        <v>75</v>
      </c>
      <c r="K53" s="10">
        <v>75</v>
      </c>
      <c r="L53" s="10">
        <v>6.33</v>
      </c>
      <c r="M53" s="10">
        <v>1.17</v>
      </c>
      <c r="N53" s="4">
        <f t="shared" si="157"/>
        <v>3915</v>
      </c>
      <c r="O53" s="4">
        <f t="shared" ref="O53:O54" si="191">L53*$L$4+M53*$M$4</f>
        <v>9.254999999999999</v>
      </c>
      <c r="P53" s="33">
        <v>3175</v>
      </c>
      <c r="Q53" s="33">
        <f t="shared" ref="Q53:Q54" si="192">P53*7</f>
        <v>22225</v>
      </c>
      <c r="R53" s="6">
        <f t="shared" ref="R53:R54" si="193">N53*$N$4</f>
        <v>3915</v>
      </c>
      <c r="S53" s="6">
        <f t="shared" ref="S53:S54" si="194">O53*$O$4</f>
        <v>9254.9999999999982</v>
      </c>
      <c r="T53" s="35">
        <f t="shared" ref="T53:T54" si="195">Q53*$Q$4</f>
        <v>4445</v>
      </c>
      <c r="U53" s="35">
        <f t="shared" ref="U53:U54" si="196">SUM(R53:T53)</f>
        <v>17615</v>
      </c>
      <c r="V53" s="37">
        <f t="shared" ref="V53:V54" si="197">RANK(R53,$R$9:$R$10002)</f>
        <v>51</v>
      </c>
      <c r="W53" s="37">
        <f t="shared" ref="W53:W54" si="198">RANK(S53,$S$9:$S$10002)</f>
        <v>17</v>
      </c>
      <c r="X53" s="37">
        <f t="shared" ref="X53:X54" si="199">RANK(T53,$T$9:$T$10002)</f>
        <v>46</v>
      </c>
      <c r="Y53" s="37">
        <f t="shared" ref="Y53:Y54" si="200">RANK(U53,$U$9:$U$10002)</f>
        <v>41</v>
      </c>
      <c r="Z53" s="37" t="str">
        <f t="shared" ref="Z53:Z54" si="201">_xlfn.CONCAT(ROUND((1-PERCENTRANK($U$9:$U$10002,U53,2))*100,2),"%")</f>
        <v>69%</v>
      </c>
    </row>
    <row r="54" spans="1:26" x14ac:dyDescent="0.3">
      <c r="A54" s="24">
        <v>45858</v>
      </c>
      <c r="B54" s="15">
        <v>46</v>
      </c>
      <c r="C54" s="10">
        <f>198+250+1820</f>
        <v>2268</v>
      </c>
      <c r="D54" s="10">
        <v>6</v>
      </c>
      <c r="E54" s="10">
        <v>5</v>
      </c>
      <c r="F54" s="10">
        <v>20</v>
      </c>
      <c r="G54" s="10">
        <v>20</v>
      </c>
      <c r="H54" s="10">
        <v>100</v>
      </c>
      <c r="I54" s="10">
        <v>20</v>
      </c>
      <c r="J54" s="10">
        <v>75</v>
      </c>
      <c r="K54" s="10">
        <v>75</v>
      </c>
      <c r="L54" s="10">
        <v>6.85</v>
      </c>
      <c r="M54" s="10">
        <v>1.51</v>
      </c>
      <c r="N54" s="4">
        <f t="shared" si="157"/>
        <v>6803</v>
      </c>
      <c r="O54" s="4">
        <f t="shared" si="191"/>
        <v>10.625</v>
      </c>
      <c r="P54" s="33">
        <v>2855</v>
      </c>
      <c r="Q54" s="33">
        <f t="shared" si="192"/>
        <v>19985</v>
      </c>
      <c r="R54" s="6">
        <f t="shared" si="193"/>
        <v>6803</v>
      </c>
      <c r="S54" s="6">
        <f t="shared" si="194"/>
        <v>10625</v>
      </c>
      <c r="T54" s="35">
        <f t="shared" si="195"/>
        <v>3997</v>
      </c>
      <c r="U54" s="35">
        <f t="shared" si="196"/>
        <v>21425</v>
      </c>
      <c r="V54" s="37">
        <f t="shared" si="197"/>
        <v>33</v>
      </c>
      <c r="W54" s="37">
        <f t="shared" si="198"/>
        <v>7</v>
      </c>
      <c r="X54" s="37">
        <f t="shared" si="199"/>
        <v>48</v>
      </c>
      <c r="Y54" s="37">
        <f t="shared" si="200"/>
        <v>22</v>
      </c>
      <c r="Z54" s="37" t="str">
        <f t="shared" si="201"/>
        <v>37%</v>
      </c>
    </row>
    <row r="55" spans="1:26" x14ac:dyDescent="0.3">
      <c r="A55" s="24">
        <v>45865</v>
      </c>
      <c r="B55" s="15">
        <v>47</v>
      </c>
      <c r="C55" s="10">
        <v>1780</v>
      </c>
      <c r="D55" s="10">
        <v>4</v>
      </c>
      <c r="E55" s="10">
        <v>0</v>
      </c>
      <c r="F55" s="10">
        <v>20</v>
      </c>
      <c r="G55" s="10">
        <v>10</v>
      </c>
      <c r="H55" s="10">
        <v>100</v>
      </c>
      <c r="I55" s="10">
        <v>20</v>
      </c>
      <c r="J55" s="10">
        <v>0</v>
      </c>
      <c r="K55" s="10">
        <v>0</v>
      </c>
      <c r="L55" s="10">
        <v>6.11</v>
      </c>
      <c r="M55" s="10">
        <v>1.49</v>
      </c>
      <c r="N55" s="4">
        <f t="shared" si="157"/>
        <v>4720</v>
      </c>
      <c r="O55" s="4">
        <f t="shared" ref="O55" si="202">L55*$L$4+M55*$M$4</f>
        <v>9.8350000000000009</v>
      </c>
      <c r="P55" s="33">
        <v>2805</v>
      </c>
      <c r="Q55" s="33">
        <f t="shared" ref="Q55" si="203">P55*7</f>
        <v>19635</v>
      </c>
      <c r="R55" s="6">
        <f t="shared" ref="R55" si="204">N55*$N$4</f>
        <v>4720</v>
      </c>
      <c r="S55" s="6">
        <f t="shared" ref="S55" si="205">O55*$O$4</f>
        <v>9835</v>
      </c>
      <c r="T55" s="35">
        <f t="shared" ref="T55" si="206">Q55*$Q$4</f>
        <v>3927</v>
      </c>
      <c r="U55" s="35">
        <f t="shared" ref="U55" si="207">SUM(R55:T55)</f>
        <v>18482</v>
      </c>
      <c r="V55" s="37">
        <f t="shared" ref="V55" si="208">RANK(R55,$R$9:$R$10002)</f>
        <v>47</v>
      </c>
      <c r="W55" s="37">
        <f t="shared" ref="W55" si="209">RANK(S55,$S$9:$S$10002)</f>
        <v>11</v>
      </c>
      <c r="X55" s="37">
        <f t="shared" ref="X55" si="210">RANK(T55,$T$9:$T$10002)</f>
        <v>50</v>
      </c>
      <c r="Y55" s="37">
        <f t="shared" ref="Y55" si="211">RANK(U55,$U$9:$U$10002)</f>
        <v>35</v>
      </c>
      <c r="Z55" s="37" t="str">
        <f t="shared" ref="Z55" si="212">_xlfn.CONCAT(ROUND((1-PERCENTRANK($U$9:$U$10002,U55,2))*100,2),"%")</f>
        <v>59%</v>
      </c>
    </row>
    <row r="56" spans="1:26" x14ac:dyDescent="0.3">
      <c r="A56" s="24">
        <v>45872</v>
      </c>
      <c r="B56" s="15">
        <v>48</v>
      </c>
      <c r="C56" s="10">
        <v>2509</v>
      </c>
      <c r="D56" s="10">
        <v>19</v>
      </c>
      <c r="E56" s="10">
        <v>5</v>
      </c>
      <c r="F56" s="10">
        <v>10</v>
      </c>
      <c r="G56" s="10">
        <v>10</v>
      </c>
      <c r="H56" s="10">
        <v>50</v>
      </c>
      <c r="I56" s="10">
        <v>10</v>
      </c>
      <c r="J56" s="10">
        <v>0</v>
      </c>
      <c r="K56" s="10">
        <v>0</v>
      </c>
      <c r="L56" s="10">
        <v>8.36</v>
      </c>
      <c r="M56" s="10">
        <v>1.77</v>
      </c>
      <c r="N56" s="4">
        <f t="shared" ref="N56:N57" si="213">C56*$C$4+D56*$D$4+E56*$E$4+F56*$F$4+G56*$G$4+H56*$H$4+I56*$I$4+J56*$J$4+$K$4*K56</f>
        <v>5474</v>
      </c>
      <c r="O56" s="4">
        <f t="shared" ref="O56:O57" si="214">L56*$L$4+M56*$M$4</f>
        <v>12.785</v>
      </c>
      <c r="P56" s="33">
        <v>3687</v>
      </c>
      <c r="Q56" s="33">
        <f t="shared" ref="Q56:Q57" si="215">P56*7</f>
        <v>25809</v>
      </c>
      <c r="R56" s="6">
        <f t="shared" ref="R56:R57" si="216">N56*$N$4</f>
        <v>5474</v>
      </c>
      <c r="S56" s="6">
        <f t="shared" ref="S56:S57" si="217">O56*$O$4</f>
        <v>12785</v>
      </c>
      <c r="T56" s="35">
        <f t="shared" ref="T56:T57" si="218">Q56*$Q$4</f>
        <v>5161.8</v>
      </c>
      <c r="U56" s="35">
        <f t="shared" ref="U56:U57" si="219">SUM(R56:T56)</f>
        <v>23420.799999999999</v>
      </c>
      <c r="V56" s="37">
        <f t="shared" ref="V56:V57" si="220">RANK(R56,$R$9:$R$10002)</f>
        <v>39</v>
      </c>
      <c r="W56" s="37">
        <f t="shared" ref="W56:W57" si="221">RANK(S56,$S$9:$S$10002)</f>
        <v>3</v>
      </c>
      <c r="X56" s="37">
        <f t="shared" ref="X56:X57" si="222">RANK(T56,$T$9:$T$10002)</f>
        <v>38</v>
      </c>
      <c r="Y56" s="37">
        <f t="shared" ref="Y56:Y57" si="223">RANK(U56,$U$9:$U$10002)</f>
        <v>12</v>
      </c>
      <c r="Z56" s="37" t="str">
        <f t="shared" ref="Z56:Z57" si="224">_xlfn.CONCAT(ROUND((1-PERCENTRANK($U$9:$U$10002,U56,2))*100,2),"%")</f>
        <v>19%</v>
      </c>
    </row>
    <row r="57" spans="1:26" x14ac:dyDescent="0.3">
      <c r="A57" s="24">
        <v>45879</v>
      </c>
      <c r="B57" s="15">
        <v>49</v>
      </c>
      <c r="C57" s="10">
        <v>0</v>
      </c>
      <c r="D57" s="10">
        <v>7</v>
      </c>
      <c r="E57" s="10">
        <v>5</v>
      </c>
      <c r="F57" s="10">
        <v>20</v>
      </c>
      <c r="G57" s="10">
        <v>5</v>
      </c>
      <c r="H57" s="10">
        <v>150</v>
      </c>
      <c r="I57" s="10">
        <v>20</v>
      </c>
      <c r="J57" s="10">
        <v>0</v>
      </c>
      <c r="K57" s="10">
        <v>0</v>
      </c>
      <c r="L57" s="10">
        <v>5.63</v>
      </c>
      <c r="M57" s="10">
        <v>0</v>
      </c>
      <c r="N57" s="4">
        <f t="shared" si="213"/>
        <v>3345</v>
      </c>
      <c r="O57" s="4">
        <f t="shared" si="214"/>
        <v>5.63</v>
      </c>
      <c r="P57" s="33">
        <v>2724</v>
      </c>
      <c r="Q57" s="33">
        <f t="shared" si="215"/>
        <v>19068</v>
      </c>
      <c r="R57" s="6">
        <f t="shared" si="216"/>
        <v>3345</v>
      </c>
      <c r="S57" s="6">
        <f t="shared" si="217"/>
        <v>5630</v>
      </c>
      <c r="T57" s="35">
        <f t="shared" si="218"/>
        <v>3813.6000000000004</v>
      </c>
      <c r="U57" s="35">
        <f t="shared" si="219"/>
        <v>12788.6</v>
      </c>
      <c r="V57" s="37">
        <f t="shared" si="220"/>
        <v>55</v>
      </c>
      <c r="W57" s="37">
        <f t="shared" si="221"/>
        <v>35</v>
      </c>
      <c r="X57" s="37">
        <f t="shared" si="222"/>
        <v>53</v>
      </c>
      <c r="Y57" s="37">
        <f t="shared" si="223"/>
        <v>56</v>
      </c>
      <c r="Z57" s="37" t="str">
        <f t="shared" si="224"/>
        <v>95%</v>
      </c>
    </row>
    <row r="58" spans="1:26" x14ac:dyDescent="0.3">
      <c r="A58" s="24">
        <v>45886</v>
      </c>
      <c r="B58" s="15">
        <v>50</v>
      </c>
      <c r="C58" s="10">
        <v>0</v>
      </c>
      <c r="D58" s="10">
        <v>14</v>
      </c>
      <c r="E58" s="10">
        <v>5</v>
      </c>
      <c r="F58" s="10">
        <v>20</v>
      </c>
      <c r="G58" s="10">
        <v>20</v>
      </c>
      <c r="H58" s="10">
        <v>200</v>
      </c>
      <c r="I58" s="10">
        <v>30</v>
      </c>
      <c r="J58" s="10">
        <v>0</v>
      </c>
      <c r="K58" s="10">
        <v>0</v>
      </c>
      <c r="L58" s="10">
        <v>10.74</v>
      </c>
      <c r="M58" s="10">
        <v>0</v>
      </c>
      <c r="N58" s="4">
        <f t="shared" ref="N58:N59" si="225">C58*$C$4+D58*$D$4+E58*$E$4+F58*$F$4+G58*$G$4+H58*$H$4+I58*$I$4+J58*$J$4+$K$4*K58</f>
        <v>5215</v>
      </c>
      <c r="O58" s="4">
        <f t="shared" ref="O58:O59" si="226">L58*$L$4+M58*$M$4</f>
        <v>10.74</v>
      </c>
      <c r="P58" s="33">
        <v>3965</v>
      </c>
      <c r="Q58" s="33">
        <f t="shared" ref="Q58:Q59" si="227">P58*7</f>
        <v>27755</v>
      </c>
      <c r="R58" s="6">
        <f t="shared" ref="R58:R59" si="228">N58*$N$4</f>
        <v>5215</v>
      </c>
      <c r="S58" s="6">
        <f t="shared" ref="S58:S59" si="229">O58*$O$4</f>
        <v>10740</v>
      </c>
      <c r="T58" s="35">
        <f t="shared" ref="T58:T59" si="230">Q58*$Q$4</f>
        <v>5551</v>
      </c>
      <c r="U58" s="35">
        <f t="shared" ref="U58:U59" si="231">SUM(R58:T58)</f>
        <v>21506</v>
      </c>
      <c r="V58" s="37">
        <f t="shared" ref="V58:V59" si="232">RANK(R58,$R$9:$R$10002)</f>
        <v>41</v>
      </c>
      <c r="W58" s="37">
        <f t="shared" ref="W58:W59" si="233">RANK(S58,$S$9:$S$10002)</f>
        <v>5</v>
      </c>
      <c r="X58" s="37">
        <f t="shared" ref="X58:X59" si="234">RANK(T58,$T$9:$T$10002)</f>
        <v>35</v>
      </c>
      <c r="Y58" s="37">
        <f t="shared" ref="Y58:Y59" si="235">RANK(U58,$U$9:$U$10002)</f>
        <v>20</v>
      </c>
      <c r="Z58" s="37" t="str">
        <f t="shared" ref="Z58:Z59" si="236">_xlfn.CONCAT(ROUND((1-PERCENTRANK($U$9:$U$10002,U58,2))*100,2),"%")</f>
        <v>33%</v>
      </c>
    </row>
    <row r="59" spans="1:26" x14ac:dyDescent="0.3">
      <c r="A59" s="24">
        <v>45893</v>
      </c>
      <c r="B59" s="15">
        <v>51</v>
      </c>
      <c r="C59" s="10">
        <f>182+348+692+1951</f>
        <v>3173</v>
      </c>
      <c r="D59" s="10">
        <v>10</v>
      </c>
      <c r="E59" s="10">
        <v>5</v>
      </c>
      <c r="F59" s="10">
        <v>20</v>
      </c>
      <c r="G59" s="10">
        <v>15</v>
      </c>
      <c r="H59" s="10">
        <v>150</v>
      </c>
      <c r="I59" s="10">
        <v>30</v>
      </c>
      <c r="J59" s="10">
        <v>0</v>
      </c>
      <c r="K59" s="10">
        <v>0</v>
      </c>
      <c r="L59" s="10">
        <v>6.37</v>
      </c>
      <c r="M59" s="10">
        <v>1.56</v>
      </c>
      <c r="N59" s="4">
        <f t="shared" si="225"/>
        <v>7648</v>
      </c>
      <c r="O59" s="4">
        <f t="shared" si="226"/>
        <v>10.27</v>
      </c>
      <c r="P59" s="33">
        <v>4129</v>
      </c>
      <c r="Q59" s="33">
        <f t="shared" si="227"/>
        <v>28903</v>
      </c>
      <c r="R59" s="6">
        <f t="shared" si="228"/>
        <v>7648</v>
      </c>
      <c r="S59" s="6">
        <f t="shared" si="229"/>
        <v>10270</v>
      </c>
      <c r="T59" s="35">
        <f t="shared" si="230"/>
        <v>5780.6</v>
      </c>
      <c r="U59" s="35">
        <f t="shared" si="231"/>
        <v>23698.6</v>
      </c>
      <c r="V59" s="37">
        <f t="shared" si="232"/>
        <v>24</v>
      </c>
      <c r="W59" s="37">
        <f t="shared" si="233"/>
        <v>8</v>
      </c>
      <c r="X59" s="37">
        <f t="shared" si="234"/>
        <v>31</v>
      </c>
      <c r="Y59" s="37">
        <f t="shared" si="235"/>
        <v>11</v>
      </c>
      <c r="Z59" s="37" t="str">
        <f t="shared" si="236"/>
        <v>18%</v>
      </c>
    </row>
    <row r="60" spans="1:26" x14ac:dyDescent="0.3">
      <c r="A60" s="24">
        <v>45900</v>
      </c>
      <c r="B60" s="15">
        <v>52</v>
      </c>
      <c r="C60" s="10">
        <f>410+818+1720</f>
        <v>2948</v>
      </c>
      <c r="D60" s="10">
        <v>9</v>
      </c>
      <c r="E60" s="10">
        <v>5</v>
      </c>
      <c r="F60" s="10">
        <v>20</v>
      </c>
      <c r="G60" s="10">
        <v>10</v>
      </c>
      <c r="H60" s="10">
        <v>200</v>
      </c>
      <c r="I60" s="10">
        <v>20</v>
      </c>
      <c r="J60" s="10">
        <v>75</v>
      </c>
      <c r="K60" s="10">
        <v>75</v>
      </c>
      <c r="L60" s="10">
        <v>5.82</v>
      </c>
      <c r="M60" s="10">
        <v>0.76</v>
      </c>
      <c r="N60" s="4">
        <f t="shared" ref="N60:N61" si="237">C60*$C$4+D60*$D$4+E60*$E$4+F60*$F$4+G60*$G$4+H60*$H$4+I60*$I$4+J60*$J$4+$K$4*K60</f>
        <v>7663</v>
      </c>
      <c r="O60" s="4">
        <f t="shared" ref="O60:O61" si="238">L60*$L$4+M60*$M$4</f>
        <v>7.7200000000000006</v>
      </c>
      <c r="P60" s="33">
        <v>2406</v>
      </c>
      <c r="Q60" s="33">
        <f t="shared" ref="Q60:Q61" si="239">P60*7</f>
        <v>16842</v>
      </c>
      <c r="R60" s="6">
        <f t="shared" ref="R60:R61" si="240">N60*$N$4</f>
        <v>7663</v>
      </c>
      <c r="S60" s="6">
        <f t="shared" ref="S60:S61" si="241">O60*$O$4</f>
        <v>7720.0000000000009</v>
      </c>
      <c r="T60" s="35">
        <f t="shared" ref="T60:T61" si="242">Q60*$Q$4</f>
        <v>3368.4</v>
      </c>
      <c r="U60" s="35">
        <f t="shared" ref="U60:U61" si="243">SUM(R60:T60)</f>
        <v>18751.400000000001</v>
      </c>
      <c r="V60" s="37">
        <f t="shared" ref="V60:V61" si="244">RANK(R60,$R$9:$R$10002)</f>
        <v>23</v>
      </c>
      <c r="W60" s="37">
        <f t="shared" ref="W60:W61" si="245">RANK(S60,$S$9:$S$10002)</f>
        <v>22</v>
      </c>
      <c r="X60" s="37">
        <f t="shared" ref="X60:X61" si="246">RANK(T60,$T$9:$T$10002)</f>
        <v>59</v>
      </c>
      <c r="Y60" s="37">
        <f t="shared" ref="Y60:Y61" si="247">RANK(U60,$U$9:$U$10002)</f>
        <v>33</v>
      </c>
      <c r="Z60" s="37" t="str">
        <f t="shared" ref="Z60:Z61" si="248">_xlfn.CONCAT(ROUND((1-PERCENTRANK($U$9:$U$10002,U60,2))*100,2),"%")</f>
        <v>56%</v>
      </c>
    </row>
    <row r="61" spans="1:26" x14ac:dyDescent="0.3">
      <c r="A61" s="24">
        <v>45907</v>
      </c>
      <c r="B61" s="15">
        <v>53</v>
      </c>
      <c r="C61" s="10">
        <v>0</v>
      </c>
      <c r="D61" s="10">
        <v>13</v>
      </c>
      <c r="E61" s="10">
        <v>5</v>
      </c>
      <c r="F61" s="10">
        <v>20</v>
      </c>
      <c r="G61" s="10">
        <v>10</v>
      </c>
      <c r="H61" s="10">
        <v>100</v>
      </c>
      <c r="I61" s="10">
        <v>20</v>
      </c>
      <c r="J61" s="10">
        <v>75</v>
      </c>
      <c r="K61" s="10">
        <v>75</v>
      </c>
      <c r="L61" s="10">
        <v>13.67</v>
      </c>
      <c r="M61" s="10">
        <v>0.75</v>
      </c>
      <c r="N61" s="4">
        <f t="shared" si="237"/>
        <v>4455</v>
      </c>
      <c r="O61" s="4">
        <f t="shared" si="238"/>
        <v>15.545</v>
      </c>
      <c r="P61" s="33">
        <v>2695</v>
      </c>
      <c r="Q61" s="33">
        <f t="shared" si="239"/>
        <v>18865</v>
      </c>
      <c r="R61" s="6">
        <f t="shared" si="240"/>
        <v>4455</v>
      </c>
      <c r="S61" s="6">
        <f t="shared" si="241"/>
        <v>15545</v>
      </c>
      <c r="T61" s="35">
        <f t="shared" si="242"/>
        <v>3773</v>
      </c>
      <c r="U61" s="35">
        <f t="shared" si="243"/>
        <v>23773</v>
      </c>
      <c r="V61" s="37">
        <f t="shared" si="244"/>
        <v>48</v>
      </c>
      <c r="W61" s="37">
        <f t="shared" si="245"/>
        <v>2</v>
      </c>
      <c r="X61" s="37">
        <f t="shared" si="246"/>
        <v>54</v>
      </c>
      <c r="Y61" s="37">
        <f t="shared" si="247"/>
        <v>10</v>
      </c>
      <c r="Z61" s="37" t="str">
        <f t="shared" si="248"/>
        <v>16%</v>
      </c>
    </row>
    <row r="62" spans="1:26" x14ac:dyDescent="0.3">
      <c r="A62" s="24">
        <v>45914</v>
      </c>
      <c r="B62" s="15">
        <v>54</v>
      </c>
      <c r="C62" s="10">
        <f>260+810+2210</f>
        <v>3280</v>
      </c>
      <c r="D62" s="10">
        <v>6</v>
      </c>
      <c r="E62" s="10">
        <v>0</v>
      </c>
      <c r="F62" s="10">
        <v>0</v>
      </c>
      <c r="G62" s="10">
        <v>5</v>
      </c>
      <c r="H62" s="10">
        <v>100</v>
      </c>
      <c r="I62" s="10">
        <v>20</v>
      </c>
      <c r="J62" s="10">
        <v>0</v>
      </c>
      <c r="K62" s="10">
        <v>0</v>
      </c>
      <c r="L62" s="10">
        <v>8.74</v>
      </c>
      <c r="M62" s="10">
        <v>0.78</v>
      </c>
      <c r="N62" s="4">
        <f t="shared" ref="N62" si="249">C62*$C$4+D62*$D$4+E62*$E$4+F62*$F$4+G62*$G$4+H62*$H$4+I62*$I$4+J62*$J$4+$K$4*K62</f>
        <v>5290</v>
      </c>
      <c r="O62" s="4">
        <f t="shared" ref="O62" si="250">L62*$L$4+M62*$M$4</f>
        <v>10.690000000000001</v>
      </c>
      <c r="P62" s="33">
        <v>3282</v>
      </c>
      <c r="Q62" s="33">
        <f t="shared" ref="Q62" si="251">P62*7</f>
        <v>22974</v>
      </c>
      <c r="R62" s="6">
        <f t="shared" ref="R62" si="252">N62*$N$4</f>
        <v>5290</v>
      </c>
      <c r="S62" s="6">
        <f t="shared" ref="S62" si="253">O62*$O$4</f>
        <v>10690.000000000002</v>
      </c>
      <c r="T62" s="35">
        <f t="shared" ref="T62" si="254">Q62*$Q$4</f>
        <v>4594.8</v>
      </c>
      <c r="U62" s="35">
        <f t="shared" ref="U62" si="255">SUM(R62:T62)</f>
        <v>20574.800000000003</v>
      </c>
      <c r="V62" s="37">
        <f t="shared" ref="V62" si="256">RANK(R62,$R$9:$R$10002)</f>
        <v>40</v>
      </c>
      <c r="W62" s="37">
        <f t="shared" ref="W62" si="257">RANK(S62,$S$9:$S$10002)</f>
        <v>6</v>
      </c>
      <c r="X62" s="37">
        <f t="shared" ref="X62" si="258">RANK(T62,$T$9:$T$10002)</f>
        <v>45</v>
      </c>
      <c r="Y62" s="37">
        <f t="shared" ref="Y62" si="259">RANK(U62,$U$9:$U$10002)</f>
        <v>26</v>
      </c>
      <c r="Z62" s="37" t="str">
        <f t="shared" ref="Z62" si="260">_xlfn.CONCAT(ROUND((1-PERCENTRANK($U$9:$U$10002,U62,2))*100,2),"%")</f>
        <v>44%</v>
      </c>
    </row>
    <row r="63" spans="1:26" x14ac:dyDescent="0.3">
      <c r="A63" s="24">
        <v>45921</v>
      </c>
      <c r="B63" s="15">
        <v>55</v>
      </c>
      <c r="C63" s="10">
        <f>300+2450</f>
        <v>2750</v>
      </c>
      <c r="D63" s="10">
        <v>24</v>
      </c>
      <c r="E63" s="10">
        <v>10</v>
      </c>
      <c r="F63" s="10">
        <v>30</v>
      </c>
      <c r="G63" s="10">
        <v>20</v>
      </c>
      <c r="H63" s="10">
        <v>150</v>
      </c>
      <c r="I63" s="10">
        <v>30</v>
      </c>
      <c r="J63" s="10">
        <v>75</v>
      </c>
      <c r="K63" s="10">
        <v>75</v>
      </c>
      <c r="L63" s="10">
        <v>13.31</v>
      </c>
      <c r="M63" s="10">
        <v>1.05</v>
      </c>
      <c r="N63" s="4">
        <f t="shared" ref="N63" si="261">C63*$C$4+D63*$D$4+E63*$E$4+F63*$F$4+G63*$G$4+H63*$H$4+I63*$I$4+J63*$J$4+$K$4*K63</f>
        <v>9690</v>
      </c>
      <c r="O63" s="4">
        <f t="shared" ref="O63" si="262">L63*$L$4+M63*$M$4</f>
        <v>15.935</v>
      </c>
      <c r="P63" s="33">
        <v>4296</v>
      </c>
      <c r="Q63" s="33">
        <f t="shared" ref="Q63" si="263">P63*7</f>
        <v>30072</v>
      </c>
      <c r="R63" s="6">
        <f t="shared" ref="R63" si="264">N63*$N$4</f>
        <v>9690</v>
      </c>
      <c r="S63" s="6">
        <f t="shared" ref="S63" si="265">O63*$O$4</f>
        <v>15935</v>
      </c>
      <c r="T63" s="35">
        <f t="shared" ref="T63" si="266">Q63*$Q$4</f>
        <v>6014.4000000000005</v>
      </c>
      <c r="U63" s="35">
        <f t="shared" ref="U63" si="267">SUM(R63:T63)</f>
        <v>31639.4</v>
      </c>
      <c r="V63" s="37">
        <f t="shared" ref="V63" si="268">RANK(R63,$R$9:$R$10002)</f>
        <v>8</v>
      </c>
      <c r="W63" s="37">
        <f t="shared" ref="W63" si="269">RANK(S63,$S$9:$S$10002)</f>
        <v>1</v>
      </c>
      <c r="X63" s="37">
        <f t="shared" ref="X63" si="270">RANK(T63,$T$9:$T$10002)</f>
        <v>27</v>
      </c>
      <c r="Y63" s="37">
        <f t="shared" ref="Y63" si="271">RANK(U63,$U$9:$U$10002)</f>
        <v>1</v>
      </c>
      <c r="Z63" s="37" t="str">
        <f t="shared" ref="Z63" si="272">_xlfn.CONCAT(ROUND((1-PERCENTRANK($U$9:$U$10002,U63,2))*100,2),"%")</f>
        <v>0%</v>
      </c>
    </row>
    <row r="64" spans="1:26" x14ac:dyDescent="0.3">
      <c r="A64" s="24">
        <v>45928</v>
      </c>
      <c r="B64" s="15">
        <v>56</v>
      </c>
      <c r="C64" s="10">
        <f>1854+303</f>
        <v>2157</v>
      </c>
      <c r="D64" s="10">
        <v>14</v>
      </c>
      <c r="E64" s="10">
        <v>5</v>
      </c>
      <c r="F64" s="10">
        <v>20</v>
      </c>
      <c r="G64" s="10">
        <v>16</v>
      </c>
      <c r="H64" s="10">
        <v>150</v>
      </c>
      <c r="I64" s="10">
        <v>20</v>
      </c>
      <c r="J64" s="10">
        <v>75</v>
      </c>
      <c r="K64" s="10">
        <v>75</v>
      </c>
      <c r="L64" s="10">
        <v>7.62</v>
      </c>
      <c r="M64" s="10">
        <v>0.76</v>
      </c>
      <c r="N64" s="4">
        <f t="shared" ref="N64" si="273">C64*$C$4+D64*$D$4+E64*$E$4+F64*$F$4+G64*$G$4+H64*$H$4+I64*$I$4+J64*$J$4+$K$4*K64</f>
        <v>7222</v>
      </c>
      <c r="O64" s="4">
        <f t="shared" ref="O64" si="274">L64*$L$4+M64*$M$4</f>
        <v>9.52</v>
      </c>
      <c r="P64" s="33">
        <v>4731</v>
      </c>
      <c r="Q64" s="33">
        <f t="shared" ref="Q64" si="275">P64*7</f>
        <v>33117</v>
      </c>
      <c r="R64" s="6">
        <f t="shared" ref="R64" si="276">N64*$N$4</f>
        <v>7222</v>
      </c>
      <c r="S64" s="6">
        <f t="shared" ref="S64" si="277">O64*$O$4</f>
        <v>9520</v>
      </c>
      <c r="T64" s="35">
        <f t="shared" ref="T64" si="278">Q64*$Q$4</f>
        <v>6623.4000000000005</v>
      </c>
      <c r="U64" s="35">
        <f t="shared" ref="U64" si="279">SUM(R64:T64)</f>
        <v>23365.4</v>
      </c>
      <c r="V64" s="37">
        <f t="shared" ref="V64" si="280">RANK(R64,$R$9:$R$10002)</f>
        <v>29</v>
      </c>
      <c r="W64" s="37">
        <f t="shared" ref="W64" si="281">RANK(S64,$S$9:$S$10002)</f>
        <v>14</v>
      </c>
      <c r="X64" s="37">
        <f t="shared" ref="X64" si="282">RANK(T64,$T$9:$T$10002)</f>
        <v>17</v>
      </c>
      <c r="Y64" s="37">
        <f t="shared" ref="Y64" si="283">RANK(U64,$U$9:$U$10002)</f>
        <v>13</v>
      </c>
      <c r="Z64" s="37" t="str">
        <f t="shared" ref="Z64" si="284">_xlfn.CONCAT(ROUND((1-PERCENTRANK($U$9:$U$10002,U64,2))*100,2),"%")</f>
        <v>21%</v>
      </c>
    </row>
    <row r="65" spans="1:26" x14ac:dyDescent="0.3">
      <c r="A65" s="24">
        <v>45935</v>
      </c>
      <c r="B65" s="15">
        <v>57</v>
      </c>
      <c r="C65" s="10">
        <v>2718</v>
      </c>
      <c r="D65" s="10">
        <v>21</v>
      </c>
      <c r="E65" s="10">
        <v>10</v>
      </c>
      <c r="F65" s="10">
        <v>25</v>
      </c>
      <c r="G65" s="10">
        <v>20</v>
      </c>
      <c r="H65" s="10">
        <v>150</v>
      </c>
      <c r="I65" s="10">
        <v>40</v>
      </c>
      <c r="J65" s="10">
        <v>300</v>
      </c>
      <c r="K65" s="10">
        <v>300</v>
      </c>
      <c r="L65" s="10">
        <v>8.82</v>
      </c>
      <c r="M65" s="10">
        <v>1.57</v>
      </c>
      <c r="N65" s="4">
        <f t="shared" ref="N65" si="285">C65*$C$4+D65*$D$4+E65*$E$4+F65*$F$4+G65*$G$4+H65*$H$4+I65*$I$4+J65*$J$4+$K$4*K65</f>
        <v>11978</v>
      </c>
      <c r="O65" s="4">
        <f t="shared" ref="O65" si="286">L65*$L$4+M65*$M$4</f>
        <v>12.745000000000001</v>
      </c>
      <c r="P65" s="33">
        <v>4191</v>
      </c>
      <c r="Q65" s="33">
        <f t="shared" ref="Q65" si="287">P65*7</f>
        <v>29337</v>
      </c>
      <c r="R65" s="6">
        <f t="shared" ref="R65" si="288">N65*$N$4</f>
        <v>11978</v>
      </c>
      <c r="S65" s="6">
        <f t="shared" ref="S65" si="289">O65*$O$4</f>
        <v>12745.000000000002</v>
      </c>
      <c r="T65" s="35">
        <f t="shared" ref="T65" si="290">Q65*$Q$4</f>
        <v>5867.4000000000005</v>
      </c>
      <c r="U65" s="35">
        <f t="shared" ref="U65" si="291">SUM(R65:T65)</f>
        <v>30590.400000000001</v>
      </c>
      <c r="V65" s="37">
        <f t="shared" ref="V65" si="292">RANK(R65,$R$9:$R$10002)</f>
        <v>1</v>
      </c>
      <c r="W65" s="37">
        <f t="shared" ref="W65" si="293">RANK(S65,$S$9:$S$10002)</f>
        <v>4</v>
      </c>
      <c r="X65" s="37">
        <f t="shared" ref="X65" si="294">RANK(T65,$T$9:$T$10002)</f>
        <v>30</v>
      </c>
      <c r="Y65" s="37">
        <f t="shared" ref="Y65" si="295">RANK(U65,$U$9:$U$10002)</f>
        <v>2</v>
      </c>
      <c r="Z65" s="37" t="str">
        <f t="shared" ref="Z65" si="296">_xlfn.CONCAT(ROUND((1-PERCENTRANK($U$9:$U$10002,U65,2))*100,2),"%")</f>
        <v>2%</v>
      </c>
    </row>
    <row r="66" spans="1:26" x14ac:dyDescent="0.3">
      <c r="A66" s="24">
        <v>45942</v>
      </c>
      <c r="B66" s="15">
        <v>58</v>
      </c>
      <c r="C66" s="10">
        <f>1242+680</f>
        <v>1922</v>
      </c>
      <c r="D66" s="10">
        <v>15</v>
      </c>
      <c r="E66" s="10">
        <v>5</v>
      </c>
      <c r="F66" s="10">
        <v>20</v>
      </c>
      <c r="G66" s="10">
        <v>20</v>
      </c>
      <c r="H66" s="10">
        <v>110</v>
      </c>
      <c r="I66" s="10">
        <v>20</v>
      </c>
      <c r="J66" s="10">
        <v>100</v>
      </c>
      <c r="K66" s="10">
        <v>100</v>
      </c>
      <c r="L66" s="10">
        <v>7.34</v>
      </c>
      <c r="M66" s="10">
        <v>1.03</v>
      </c>
      <c r="N66" s="4">
        <f t="shared" ref="N66" si="297">C66*$C$4+D66*$D$4+E66*$E$4+F66*$F$4+G66*$G$4+H66*$H$4+I66*$I$4+J66*$J$4+$K$4*K66</f>
        <v>7297</v>
      </c>
      <c r="O66" s="4">
        <f t="shared" ref="O66" si="298">L66*$L$4+M66*$M$4</f>
        <v>9.9149999999999991</v>
      </c>
      <c r="P66" s="33">
        <v>4122</v>
      </c>
      <c r="Q66" s="33">
        <f t="shared" ref="Q66" si="299">P66*7</f>
        <v>28854</v>
      </c>
      <c r="R66" s="6">
        <f t="shared" ref="R66" si="300">N66*$N$4</f>
        <v>7297</v>
      </c>
      <c r="S66" s="6">
        <f t="shared" ref="S66" si="301">O66*$O$4</f>
        <v>9915</v>
      </c>
      <c r="T66" s="35">
        <f t="shared" ref="T66" si="302">Q66*$Q$4</f>
        <v>5770.8</v>
      </c>
      <c r="U66" s="35">
        <f t="shared" ref="U66" si="303">SUM(R66:T66)</f>
        <v>22982.799999999999</v>
      </c>
      <c r="V66" s="37">
        <f t="shared" ref="V66" si="304">RANK(R66,$R$9:$R$10002)</f>
        <v>28</v>
      </c>
      <c r="W66" s="37">
        <f t="shared" ref="W66" si="305">RANK(S66,$S$9:$S$10002)</f>
        <v>10</v>
      </c>
      <c r="X66" s="37">
        <f t="shared" ref="X66" si="306">RANK(T66,$T$9:$T$10002)</f>
        <v>32</v>
      </c>
      <c r="Y66" s="37">
        <f t="shared" ref="Y66" si="307">RANK(U66,$U$9:$U$10002)</f>
        <v>14</v>
      </c>
      <c r="Z66" s="37" t="str">
        <f t="shared" ref="Z66" si="308">_xlfn.CONCAT(ROUND((1-PERCENTRANK($U$9:$U$10002,U66,2))*100,2),"%")</f>
        <v>23%</v>
      </c>
    </row>
    <row r="67" spans="1:26" x14ac:dyDescent="0.3">
      <c r="A67" s="24">
        <v>45949</v>
      </c>
      <c r="B67" s="15">
        <v>59</v>
      </c>
      <c r="C67" s="10">
        <f>490+2200</f>
        <v>2690</v>
      </c>
      <c r="D67" s="10">
        <v>6</v>
      </c>
      <c r="E67" s="10">
        <v>0</v>
      </c>
      <c r="F67" s="10">
        <v>10</v>
      </c>
      <c r="G67" s="10">
        <v>15</v>
      </c>
      <c r="H67" s="10">
        <v>0</v>
      </c>
      <c r="I67" s="10">
        <v>0</v>
      </c>
      <c r="J67" s="10">
        <v>100</v>
      </c>
      <c r="K67" s="10">
        <v>100</v>
      </c>
      <c r="L67" s="10">
        <v>7.23</v>
      </c>
      <c r="M67" s="10">
        <v>1.02</v>
      </c>
      <c r="N67" s="4">
        <f t="shared" ref="N67" si="309">C67*$C$4+D67*$D$4+E67*$E$4+F67*$F$4+G67*$G$4+H67*$H$4+I67*$I$4+J67*$J$4+$K$4*K67</f>
        <v>5200</v>
      </c>
      <c r="O67" s="4">
        <f t="shared" ref="O67" si="310">L67*$L$4+M67*$M$4</f>
        <v>9.7800000000000011</v>
      </c>
      <c r="P67" s="33">
        <v>6652</v>
      </c>
      <c r="Q67" s="33">
        <f t="shared" ref="Q67" si="311">P67*7</f>
        <v>46564</v>
      </c>
      <c r="R67" s="6">
        <f t="shared" ref="R67" si="312">N67*$N$4</f>
        <v>5200</v>
      </c>
      <c r="S67" s="6">
        <f t="shared" ref="S67" si="313">O67*$O$4</f>
        <v>9780.0000000000018</v>
      </c>
      <c r="T67" s="35">
        <f t="shared" ref="T67" si="314">Q67*$Q$4</f>
        <v>9312.8000000000011</v>
      </c>
      <c r="U67" s="35">
        <f t="shared" ref="U67" si="315">SUM(R67:T67)</f>
        <v>24292.800000000003</v>
      </c>
      <c r="V67" s="37">
        <f t="shared" ref="V67" si="316">RANK(R67,$R$9:$R$10002)</f>
        <v>42</v>
      </c>
      <c r="W67" s="37">
        <f t="shared" ref="W67" si="317">RANK(S67,$S$9:$S$10002)</f>
        <v>12</v>
      </c>
      <c r="X67" s="37">
        <f t="shared" ref="X67" si="318">RANK(T67,$T$9:$T$10002)</f>
        <v>4</v>
      </c>
      <c r="Y67" s="37">
        <f t="shared" ref="Y67" si="319">RANK(U67,$U$9:$U$10002)</f>
        <v>6</v>
      </c>
      <c r="Z67" s="37" t="str">
        <f t="shared" ref="Z67" si="320">_xlfn.CONCAT(ROUND((1-PERCENTRANK($U$9:$U$10002,U67,2))*100,2),"%")</f>
        <v>9%</v>
      </c>
    </row>
  </sheetData>
  <sortState xmlns:xlrd2="http://schemas.microsoft.com/office/spreadsheetml/2017/richdata2" ref="A9:Z16">
    <sortCondition ref="B9:B16"/>
  </sortState>
  <mergeCells count="13">
    <mergeCell ref="A5:B7"/>
    <mergeCell ref="P6:P7"/>
    <mergeCell ref="Q6:Q7"/>
    <mergeCell ref="A1:A2"/>
    <mergeCell ref="B1:B2"/>
    <mergeCell ref="R1:U4"/>
    <mergeCell ref="A3:B3"/>
    <mergeCell ref="A4:B4"/>
    <mergeCell ref="N1:O1"/>
    <mergeCell ref="L2:M2"/>
    <mergeCell ref="C1:M1"/>
    <mergeCell ref="P1:Q2"/>
    <mergeCell ref="C2:K2"/>
  </mergeCells>
  <phoneticPr fontId="1" type="noConversion"/>
  <conditionalFormatting sqref="A9:Z9999">
    <cfRule type="expression" dxfId="4" priority="1">
      <formula>$Y9=$V$2</formula>
    </cfRule>
    <cfRule type="expression" dxfId="3" priority="2">
      <formula>$Y9=1</formula>
    </cfRule>
    <cfRule type="expression" dxfId="2" priority="3">
      <formula>$W9=1</formula>
    </cfRule>
    <cfRule type="expression" dxfId="1" priority="4">
      <formula>$V9=1</formula>
    </cfRule>
    <cfRule type="expression" dxfId="0" priority="5">
      <formula>$X9=1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3A216-E8C0-41DA-953B-0A0799383AFF}">
  <dimension ref="A1:K61"/>
  <sheetViews>
    <sheetView workbookViewId="0">
      <pane ySplit="1" topLeftCell="A46" activePane="bottomLeft" state="frozen"/>
      <selection pane="bottomLeft" activeCell="H60" sqref="H60"/>
    </sheetView>
  </sheetViews>
  <sheetFormatPr defaultRowHeight="16.5" x14ac:dyDescent="0.45"/>
  <cols>
    <col min="1" max="2" width="9" style="19"/>
    <col min="3" max="3" width="13.59765625" style="19" hidden="1" customWidth="1"/>
    <col min="4" max="4" width="12.8984375" style="19" customWidth="1"/>
    <col min="5" max="5" width="12.69921875" style="20" customWidth="1"/>
    <col min="6" max="6" width="13.09765625" style="21" customWidth="1"/>
    <col min="7" max="7" width="16.19921875" customWidth="1"/>
    <col min="8" max="8" width="13.69921875" customWidth="1"/>
    <col min="9" max="9" width="11" customWidth="1"/>
    <col min="10" max="10" width="11.09765625" customWidth="1"/>
  </cols>
  <sheetData>
    <row r="1" spans="1:11" ht="19" x14ac:dyDescent="0.45">
      <c r="A1" s="22" t="s">
        <v>22</v>
      </c>
      <c r="B1" s="22" t="s">
        <v>20</v>
      </c>
      <c r="C1" s="22" t="s">
        <v>23</v>
      </c>
      <c r="D1" s="22" t="s">
        <v>24</v>
      </c>
      <c r="E1" s="22" t="s">
        <v>25</v>
      </c>
      <c r="F1" s="22" t="s">
        <v>26</v>
      </c>
      <c r="G1" s="23" t="s">
        <v>27</v>
      </c>
      <c r="H1" s="38">
        <f>SUM($D$3:$D$10000)+E2</f>
        <v>59681</v>
      </c>
      <c r="I1" s="25" t="s">
        <v>28</v>
      </c>
      <c r="J1" s="27">
        <v>0.05</v>
      </c>
    </row>
    <row r="2" spans="1:11" ht="19" x14ac:dyDescent="0.45">
      <c r="A2" s="22"/>
      <c r="B2" s="22"/>
      <c r="C2" s="22"/>
      <c r="D2" s="22"/>
      <c r="E2" s="17">
        <v>1112</v>
      </c>
      <c r="F2" s="39"/>
      <c r="G2" s="41"/>
      <c r="H2" s="42"/>
      <c r="I2" s="41"/>
      <c r="J2" s="43"/>
      <c r="K2" s="44"/>
    </row>
    <row r="3" spans="1:11" ht="19" x14ac:dyDescent="0.45">
      <c r="A3" s="16">
        <v>1</v>
      </c>
      <c r="B3" s="16">
        <f>運動!U9</f>
        <v>19224</v>
      </c>
      <c r="C3" s="16">
        <f t="shared" ref="C3:C61" si="0">$J$1</f>
        <v>0.05</v>
      </c>
      <c r="D3" s="16">
        <f t="shared" ref="D3:D11" si="1">ROUND(B3*C3,0)</f>
        <v>961</v>
      </c>
      <c r="E3" s="17">
        <f>E2+D3-F3</f>
        <v>2073</v>
      </c>
      <c r="F3" s="40">
        <v>0</v>
      </c>
      <c r="G3" s="41"/>
      <c r="H3" s="42"/>
      <c r="I3" s="41"/>
      <c r="J3" s="43"/>
      <c r="K3" s="44"/>
    </row>
    <row r="4" spans="1:11" ht="19" x14ac:dyDescent="0.45">
      <c r="A4" s="16">
        <v>2</v>
      </c>
      <c r="B4" s="16">
        <f>運動!U10</f>
        <v>16361.400000000001</v>
      </c>
      <c r="C4" s="16">
        <f t="shared" si="0"/>
        <v>0.05</v>
      </c>
      <c r="D4" s="16">
        <f t="shared" si="1"/>
        <v>818</v>
      </c>
      <c r="E4" s="17">
        <f t="shared" ref="E4:E10" si="2">E3+D4-F4</f>
        <v>2891</v>
      </c>
      <c r="F4" s="40">
        <v>0</v>
      </c>
      <c r="G4" s="41"/>
      <c r="H4" s="42"/>
      <c r="I4" s="44"/>
      <c r="J4" s="44"/>
      <c r="K4" s="44"/>
    </row>
    <row r="5" spans="1:11" s="26" customFormat="1" ht="19" x14ac:dyDescent="0.45">
      <c r="A5" s="16">
        <v>3</v>
      </c>
      <c r="B5" s="16">
        <f>運動!U11</f>
        <v>22646.2</v>
      </c>
      <c r="C5" s="16">
        <f t="shared" si="0"/>
        <v>0.05</v>
      </c>
      <c r="D5" s="16">
        <f t="shared" si="1"/>
        <v>1132</v>
      </c>
      <c r="E5" s="17">
        <f t="shared" si="2"/>
        <v>4023</v>
      </c>
      <c r="F5" s="40">
        <v>0</v>
      </c>
      <c r="G5" s="44"/>
      <c r="H5" s="44"/>
      <c r="I5" s="44"/>
      <c r="J5" s="44"/>
      <c r="K5" s="44"/>
    </row>
    <row r="6" spans="1:11" s="26" customFormat="1" ht="19" x14ac:dyDescent="0.45">
      <c r="A6" s="16">
        <v>4</v>
      </c>
      <c r="B6" s="16">
        <f>運動!U12</f>
        <v>20920.599999999999</v>
      </c>
      <c r="C6" s="16">
        <f t="shared" si="0"/>
        <v>0.05</v>
      </c>
      <c r="D6" s="16">
        <f t="shared" si="1"/>
        <v>1046</v>
      </c>
      <c r="E6" s="17">
        <f t="shared" si="2"/>
        <v>4069</v>
      </c>
      <c r="F6" s="40">
        <v>1000</v>
      </c>
      <c r="G6" s="41"/>
      <c r="H6" s="42"/>
      <c r="I6" s="44"/>
      <c r="J6" s="44"/>
      <c r="K6" s="44"/>
    </row>
    <row r="7" spans="1:11" ht="19" x14ac:dyDescent="0.45">
      <c r="A7" s="16">
        <v>5</v>
      </c>
      <c r="B7" s="16">
        <f>運動!U13</f>
        <v>18651</v>
      </c>
      <c r="C7" s="16">
        <f t="shared" si="0"/>
        <v>0.05</v>
      </c>
      <c r="D7" s="16">
        <f t="shared" si="1"/>
        <v>933</v>
      </c>
      <c r="E7" s="17">
        <f t="shared" si="2"/>
        <v>4002</v>
      </c>
      <c r="F7" s="40">
        <v>1000</v>
      </c>
      <c r="G7" s="44"/>
      <c r="H7" s="44"/>
      <c r="I7" s="44"/>
      <c r="J7" s="44"/>
      <c r="K7" s="44"/>
    </row>
    <row r="8" spans="1:11" ht="19" x14ac:dyDescent="0.45">
      <c r="A8" s="16">
        <v>6</v>
      </c>
      <c r="B8" s="16">
        <f>運動!U14</f>
        <v>16283.6</v>
      </c>
      <c r="C8" s="16">
        <f t="shared" si="0"/>
        <v>0.05</v>
      </c>
      <c r="D8" s="16">
        <f t="shared" si="1"/>
        <v>814</v>
      </c>
      <c r="E8" s="17">
        <f t="shared" si="2"/>
        <v>3816</v>
      </c>
      <c r="F8" s="40">
        <v>1000</v>
      </c>
      <c r="G8" s="44"/>
      <c r="H8" s="44"/>
      <c r="I8" s="44"/>
      <c r="J8" s="44"/>
      <c r="K8" s="44"/>
    </row>
    <row r="9" spans="1:11" ht="19" x14ac:dyDescent="0.45">
      <c r="A9" s="16">
        <v>7</v>
      </c>
      <c r="B9" s="16">
        <f>運動!U15</f>
        <v>19219.400000000001</v>
      </c>
      <c r="C9" s="16">
        <f t="shared" si="0"/>
        <v>0.05</v>
      </c>
      <c r="D9" s="16">
        <f t="shared" si="1"/>
        <v>961</v>
      </c>
      <c r="E9" s="17">
        <f t="shared" si="2"/>
        <v>4777</v>
      </c>
      <c r="F9" s="40">
        <v>0</v>
      </c>
      <c r="G9" s="44"/>
      <c r="H9" s="44"/>
      <c r="I9" s="44"/>
      <c r="J9" s="44"/>
      <c r="K9" s="44"/>
    </row>
    <row r="10" spans="1:11" ht="19" x14ac:dyDescent="0.45">
      <c r="A10" s="16">
        <v>8</v>
      </c>
      <c r="B10" s="16">
        <f>運動!U16</f>
        <v>15959</v>
      </c>
      <c r="C10" s="16">
        <f t="shared" si="0"/>
        <v>0.05</v>
      </c>
      <c r="D10" s="16">
        <f t="shared" si="1"/>
        <v>798</v>
      </c>
      <c r="E10" s="17">
        <f t="shared" si="2"/>
        <v>4575</v>
      </c>
      <c r="F10" s="40">
        <v>1000</v>
      </c>
      <c r="G10" s="44"/>
      <c r="H10" s="44"/>
      <c r="I10" s="44"/>
      <c r="J10" s="44"/>
      <c r="K10" s="44"/>
    </row>
    <row r="11" spans="1:11" ht="19" x14ac:dyDescent="0.45">
      <c r="A11" s="16">
        <v>9</v>
      </c>
      <c r="B11" s="16">
        <f>運動!U17</f>
        <v>17441.8</v>
      </c>
      <c r="C11" s="16">
        <f t="shared" si="0"/>
        <v>0.05</v>
      </c>
      <c r="D11" s="16">
        <f t="shared" si="1"/>
        <v>872</v>
      </c>
      <c r="E11" s="17">
        <f t="shared" ref="E11" si="3">E10+D11-F11</f>
        <v>5447</v>
      </c>
      <c r="F11" s="40">
        <v>0</v>
      </c>
    </row>
    <row r="12" spans="1:11" ht="19" x14ac:dyDescent="0.45">
      <c r="A12" s="16">
        <v>10</v>
      </c>
      <c r="B12" s="16">
        <f>運動!U18</f>
        <v>12168.400000000001</v>
      </c>
      <c r="C12" s="16">
        <f t="shared" si="0"/>
        <v>0.05</v>
      </c>
      <c r="D12" s="16">
        <f t="shared" ref="D12" si="4">ROUND(B12*C12,0)</f>
        <v>608</v>
      </c>
      <c r="E12" s="17">
        <f t="shared" ref="E12" si="5">E11+D12-F12</f>
        <v>4055</v>
      </c>
      <c r="F12" s="40">
        <v>2000</v>
      </c>
    </row>
    <row r="13" spans="1:11" ht="19" x14ac:dyDescent="0.45">
      <c r="A13" s="16">
        <v>11</v>
      </c>
      <c r="B13" s="16">
        <f>運動!U19</f>
        <v>19622.400000000001</v>
      </c>
      <c r="C13" s="16">
        <f t="shared" si="0"/>
        <v>0.05</v>
      </c>
      <c r="D13" s="16">
        <f t="shared" ref="D13" si="6">ROUND(B13*C13,0)</f>
        <v>981</v>
      </c>
      <c r="E13" s="17">
        <f t="shared" ref="E13" si="7">E12+D13-F13</f>
        <v>2036</v>
      </c>
      <c r="F13" s="18">
        <v>3000</v>
      </c>
    </row>
    <row r="14" spans="1:11" ht="19" x14ac:dyDescent="0.45">
      <c r="A14" s="16">
        <v>12</v>
      </c>
      <c r="B14" s="16">
        <f>運動!U20</f>
        <v>15860.8</v>
      </c>
      <c r="C14" s="16">
        <f t="shared" si="0"/>
        <v>0.05</v>
      </c>
      <c r="D14" s="16">
        <f t="shared" ref="D14" si="8">ROUND(B14*C14,0)</f>
        <v>793</v>
      </c>
      <c r="E14" s="17">
        <f t="shared" ref="E14" si="9">E13+D14-F14</f>
        <v>2829</v>
      </c>
      <c r="F14" s="18">
        <v>0</v>
      </c>
    </row>
    <row r="15" spans="1:11" ht="19" x14ac:dyDescent="0.45">
      <c r="A15" s="16">
        <v>13</v>
      </c>
      <c r="B15" s="16">
        <f>運動!U21</f>
        <v>22390.400000000001</v>
      </c>
      <c r="C15" s="16">
        <f t="shared" si="0"/>
        <v>0.05</v>
      </c>
      <c r="D15" s="16">
        <f t="shared" ref="D15" si="10">ROUND(B15*C15,0)</f>
        <v>1120</v>
      </c>
      <c r="E15" s="17">
        <f t="shared" ref="E15" si="11">E14+D15-F15</f>
        <v>3949</v>
      </c>
      <c r="F15" s="18">
        <v>0</v>
      </c>
    </row>
    <row r="16" spans="1:11" ht="19" x14ac:dyDescent="0.45">
      <c r="A16" s="16">
        <v>14</v>
      </c>
      <c r="B16" s="16">
        <f>運動!U22</f>
        <v>18118.8</v>
      </c>
      <c r="C16" s="16">
        <f t="shared" si="0"/>
        <v>0.05</v>
      </c>
      <c r="D16" s="16">
        <f t="shared" ref="D16" si="12">ROUND(B16*C16,0)</f>
        <v>906</v>
      </c>
      <c r="E16" s="17">
        <f t="shared" ref="E16" si="13">E15+D16-F16</f>
        <v>4855</v>
      </c>
      <c r="F16" s="18">
        <v>0</v>
      </c>
    </row>
    <row r="17" spans="1:6" ht="19" x14ac:dyDescent="0.45">
      <c r="A17" s="16">
        <v>15</v>
      </c>
      <c r="B17" s="16">
        <f>運動!U23</f>
        <v>20019.400000000001</v>
      </c>
      <c r="C17" s="16">
        <f t="shared" si="0"/>
        <v>0.05</v>
      </c>
      <c r="D17" s="16">
        <f t="shared" ref="D17:D18" si="14">ROUND(B17*C17,0)</f>
        <v>1001</v>
      </c>
      <c r="E17" s="17">
        <f t="shared" ref="E17:E18" si="15">E16+D17-F17</f>
        <v>5856</v>
      </c>
      <c r="F17" s="18">
        <v>0</v>
      </c>
    </row>
    <row r="18" spans="1:6" ht="19" x14ac:dyDescent="0.45">
      <c r="A18" s="16">
        <v>16</v>
      </c>
      <c r="B18" s="16">
        <f>運動!U24</f>
        <v>21124.799999999999</v>
      </c>
      <c r="C18" s="16">
        <f t="shared" si="0"/>
        <v>0.05</v>
      </c>
      <c r="D18" s="16">
        <f t="shared" si="14"/>
        <v>1056</v>
      </c>
      <c r="E18" s="17">
        <f t="shared" si="15"/>
        <v>3912</v>
      </c>
      <c r="F18" s="18">
        <v>3000</v>
      </c>
    </row>
    <row r="19" spans="1:6" ht="19" x14ac:dyDescent="0.45">
      <c r="A19" s="16">
        <v>17</v>
      </c>
      <c r="B19" s="16">
        <f>運動!U25</f>
        <v>23914.400000000001</v>
      </c>
      <c r="C19" s="16">
        <f t="shared" si="0"/>
        <v>0.05</v>
      </c>
      <c r="D19" s="16">
        <f t="shared" ref="D19" si="16">ROUND(B19*C19,0)</f>
        <v>1196</v>
      </c>
      <c r="E19" s="17">
        <f t="shared" ref="E19" si="17">E18+D19-F19</f>
        <v>5108</v>
      </c>
      <c r="F19" s="18">
        <v>0</v>
      </c>
    </row>
    <row r="20" spans="1:6" ht="19" x14ac:dyDescent="0.45">
      <c r="A20" s="16">
        <v>18</v>
      </c>
      <c r="B20" s="16">
        <f>運動!U26</f>
        <v>25027.599999999999</v>
      </c>
      <c r="C20" s="16">
        <f t="shared" si="0"/>
        <v>0.05</v>
      </c>
      <c r="D20" s="16">
        <f t="shared" ref="D20" si="18">ROUND(B20*C20,0)</f>
        <v>1251</v>
      </c>
      <c r="E20" s="17">
        <f t="shared" ref="E20" si="19">E19+D20-F20</f>
        <v>5359</v>
      </c>
      <c r="F20" s="18">
        <v>1000</v>
      </c>
    </row>
    <row r="21" spans="1:6" ht="19" x14ac:dyDescent="0.45">
      <c r="A21" s="16">
        <v>19</v>
      </c>
      <c r="B21" s="16">
        <f>運動!U27</f>
        <v>22029.599999999999</v>
      </c>
      <c r="C21" s="16">
        <f t="shared" si="0"/>
        <v>0.05</v>
      </c>
      <c r="D21" s="16">
        <f t="shared" ref="D21" si="20">ROUND(B21*C21,0)</f>
        <v>1101</v>
      </c>
      <c r="E21" s="17">
        <f t="shared" ref="E21" si="21">E20+D21-F21</f>
        <v>6460</v>
      </c>
      <c r="F21" s="18"/>
    </row>
    <row r="22" spans="1:6" ht="19" x14ac:dyDescent="0.45">
      <c r="A22" s="16">
        <v>20</v>
      </c>
      <c r="B22" s="16">
        <f>運動!U28</f>
        <v>27176.6</v>
      </c>
      <c r="C22" s="16">
        <f t="shared" si="0"/>
        <v>0.05</v>
      </c>
      <c r="D22" s="16">
        <f t="shared" ref="D22" si="22">ROUND(B22*C22,0)</f>
        <v>1359</v>
      </c>
      <c r="E22" s="17">
        <f t="shared" ref="E22" si="23">E21+D22-F22</f>
        <v>6819</v>
      </c>
      <c r="F22" s="18">
        <v>1000</v>
      </c>
    </row>
    <row r="23" spans="1:6" ht="19" x14ac:dyDescent="0.45">
      <c r="A23" s="16">
        <v>21</v>
      </c>
      <c r="B23" s="16">
        <f>運動!U29</f>
        <v>23826.400000000001</v>
      </c>
      <c r="C23" s="16">
        <f t="shared" si="0"/>
        <v>0.05</v>
      </c>
      <c r="D23" s="16">
        <f t="shared" ref="D23" si="24">ROUND(B23*C23,0)</f>
        <v>1191</v>
      </c>
      <c r="E23" s="17">
        <f t="shared" ref="E23" si="25">E22+D23-F23</f>
        <v>7010</v>
      </c>
      <c r="F23" s="18">
        <v>1000</v>
      </c>
    </row>
    <row r="24" spans="1:6" ht="19" x14ac:dyDescent="0.45">
      <c r="A24" s="16">
        <v>22</v>
      </c>
      <c r="B24" s="16">
        <f>運動!U30</f>
        <v>16642.599999999999</v>
      </c>
      <c r="C24" s="16">
        <f t="shared" si="0"/>
        <v>0.05</v>
      </c>
      <c r="D24" s="16">
        <f t="shared" ref="D24:D25" si="26">ROUND(B24*C24,0)</f>
        <v>832</v>
      </c>
      <c r="E24" s="17">
        <f t="shared" ref="E24:E25" si="27">E23+D24-F24</f>
        <v>6842</v>
      </c>
      <c r="F24" s="18">
        <v>1000</v>
      </c>
    </row>
    <row r="25" spans="1:6" ht="19" x14ac:dyDescent="0.45">
      <c r="A25" s="16">
        <v>23</v>
      </c>
      <c r="B25" s="16">
        <f>運動!U31</f>
        <v>22638</v>
      </c>
      <c r="C25" s="16">
        <f t="shared" si="0"/>
        <v>0.05</v>
      </c>
      <c r="D25" s="16">
        <f t="shared" si="26"/>
        <v>1132</v>
      </c>
      <c r="E25" s="17">
        <f t="shared" si="27"/>
        <v>7974</v>
      </c>
      <c r="F25" s="18">
        <v>0</v>
      </c>
    </row>
    <row r="26" spans="1:6" ht="19" x14ac:dyDescent="0.45">
      <c r="A26" s="16">
        <v>24</v>
      </c>
      <c r="B26" s="16">
        <f>運動!U32</f>
        <v>17774.2</v>
      </c>
      <c r="C26" s="16">
        <f t="shared" si="0"/>
        <v>0.05</v>
      </c>
      <c r="D26" s="16">
        <f t="shared" ref="D26:D27" si="28">ROUND(B26*C26,0)</f>
        <v>889</v>
      </c>
      <c r="E26" s="17">
        <f t="shared" ref="E26:E27" si="29">E25+D26-F26</f>
        <v>8863</v>
      </c>
      <c r="F26" s="18">
        <v>0</v>
      </c>
    </row>
    <row r="27" spans="1:6" ht="19" x14ac:dyDescent="0.45">
      <c r="A27" s="16">
        <v>25</v>
      </c>
      <c r="B27" s="16">
        <f>運動!U33</f>
        <v>15748</v>
      </c>
      <c r="C27" s="16">
        <f t="shared" si="0"/>
        <v>0.05</v>
      </c>
      <c r="D27" s="16">
        <f t="shared" si="28"/>
        <v>787</v>
      </c>
      <c r="E27" s="17">
        <f t="shared" si="29"/>
        <v>9650</v>
      </c>
      <c r="F27" s="18">
        <v>0</v>
      </c>
    </row>
    <row r="28" spans="1:6" ht="19" x14ac:dyDescent="0.45">
      <c r="A28" s="16">
        <v>26</v>
      </c>
      <c r="B28" s="16">
        <f>運動!U34</f>
        <v>18222</v>
      </c>
      <c r="C28" s="16">
        <f t="shared" si="0"/>
        <v>0.05</v>
      </c>
      <c r="D28" s="16">
        <f t="shared" ref="D28" si="30">ROUND(B28*C28,0)</f>
        <v>911</v>
      </c>
      <c r="E28" s="17">
        <f t="shared" ref="E28" si="31">E27+D28-F28</f>
        <v>8561</v>
      </c>
      <c r="F28" s="18">
        <v>2000</v>
      </c>
    </row>
    <row r="29" spans="1:6" ht="19" x14ac:dyDescent="0.45">
      <c r="A29" s="16">
        <v>27</v>
      </c>
      <c r="B29" s="16">
        <f>運動!U35</f>
        <v>14885.6</v>
      </c>
      <c r="C29" s="16">
        <f t="shared" si="0"/>
        <v>0.05</v>
      </c>
      <c r="D29" s="16">
        <f t="shared" ref="D29" si="32">ROUND(B29*C29,0)</f>
        <v>744</v>
      </c>
      <c r="E29" s="17">
        <f t="shared" ref="E29" si="33">E28+D29-F29</f>
        <v>7305</v>
      </c>
      <c r="F29" s="18">
        <v>2000</v>
      </c>
    </row>
    <row r="30" spans="1:6" ht="19" x14ac:dyDescent="0.45">
      <c r="A30" s="16">
        <v>28</v>
      </c>
      <c r="B30" s="16">
        <f>運動!U36</f>
        <v>19463.2</v>
      </c>
      <c r="C30" s="16">
        <f t="shared" si="0"/>
        <v>0.05</v>
      </c>
      <c r="D30" s="16">
        <f t="shared" ref="D30" si="34">ROUND(B30*C30,0)</f>
        <v>973</v>
      </c>
      <c r="E30" s="17">
        <f t="shared" ref="E30" si="35">E29+D30-F30</f>
        <v>4278</v>
      </c>
      <c r="F30" s="18">
        <v>4000</v>
      </c>
    </row>
    <row r="31" spans="1:6" ht="19" x14ac:dyDescent="0.45">
      <c r="A31" s="16">
        <v>29</v>
      </c>
      <c r="B31" s="16">
        <f>運動!U37</f>
        <v>19447.599999999999</v>
      </c>
      <c r="C31" s="16">
        <f t="shared" si="0"/>
        <v>0.05</v>
      </c>
      <c r="D31" s="16">
        <f t="shared" ref="D31" si="36">ROUND(B31*C31,0)</f>
        <v>972</v>
      </c>
      <c r="E31" s="17">
        <f t="shared" ref="E31" si="37">E30+D31-F31</f>
        <v>4250</v>
      </c>
      <c r="F31" s="18">
        <v>1000</v>
      </c>
    </row>
    <row r="32" spans="1:6" ht="19" x14ac:dyDescent="0.45">
      <c r="A32" s="16">
        <v>30</v>
      </c>
      <c r="B32" s="16">
        <f>運動!U38</f>
        <v>18260.2</v>
      </c>
      <c r="C32" s="16">
        <f t="shared" si="0"/>
        <v>0.05</v>
      </c>
      <c r="D32" s="16">
        <f t="shared" ref="D32" si="38">ROUND(B32*C32,0)</f>
        <v>913</v>
      </c>
      <c r="E32" s="17">
        <f t="shared" ref="E32" si="39">E31+D32-F32</f>
        <v>5163</v>
      </c>
      <c r="F32" s="18">
        <v>0</v>
      </c>
    </row>
    <row r="33" spans="1:6" ht="19" x14ac:dyDescent="0.45">
      <c r="A33" s="16">
        <v>31</v>
      </c>
      <c r="B33" s="16">
        <f>運動!U39</f>
        <v>17490</v>
      </c>
      <c r="C33" s="16">
        <f t="shared" si="0"/>
        <v>0.05</v>
      </c>
      <c r="D33" s="16">
        <f t="shared" ref="D33" si="40">ROUND(B33*C33,0)</f>
        <v>875</v>
      </c>
      <c r="E33" s="17">
        <f t="shared" ref="E33" si="41">E32+D33-F33</f>
        <v>6038</v>
      </c>
      <c r="F33" s="18">
        <v>0</v>
      </c>
    </row>
    <row r="34" spans="1:6" ht="19" x14ac:dyDescent="0.45">
      <c r="A34" s="16">
        <v>32</v>
      </c>
      <c r="B34" s="16">
        <f>運動!U40</f>
        <v>17332.8</v>
      </c>
      <c r="C34" s="16">
        <f t="shared" si="0"/>
        <v>0.05</v>
      </c>
      <c r="D34" s="16">
        <f t="shared" ref="D34:D35" si="42">ROUND(B34*C34,0)</f>
        <v>867</v>
      </c>
      <c r="E34" s="17">
        <f t="shared" ref="E34:E35" si="43">E33+D34-F34</f>
        <v>5905</v>
      </c>
      <c r="F34" s="18">
        <v>1000</v>
      </c>
    </row>
    <row r="35" spans="1:6" ht="19" x14ac:dyDescent="0.45">
      <c r="A35" s="16">
        <v>33</v>
      </c>
      <c r="B35" s="16">
        <f>運動!U41</f>
        <v>25594.800000000003</v>
      </c>
      <c r="C35" s="16">
        <f t="shared" si="0"/>
        <v>0.05</v>
      </c>
      <c r="D35" s="16">
        <f t="shared" si="42"/>
        <v>1280</v>
      </c>
      <c r="E35" s="17">
        <f t="shared" si="43"/>
        <v>5185</v>
      </c>
      <c r="F35" s="18">
        <v>2000</v>
      </c>
    </row>
    <row r="36" spans="1:6" ht="19" x14ac:dyDescent="0.45">
      <c r="A36" s="16">
        <v>34</v>
      </c>
      <c r="B36" s="16">
        <f>運動!U42</f>
        <v>17139.8</v>
      </c>
      <c r="C36" s="16">
        <f t="shared" si="0"/>
        <v>0.05</v>
      </c>
      <c r="D36" s="16">
        <f t="shared" ref="D36:D37" si="44">ROUND(B36*C36,0)</f>
        <v>857</v>
      </c>
      <c r="E36" s="17">
        <f t="shared" ref="E36:E37" si="45">E35+D36-F36</f>
        <v>4042</v>
      </c>
      <c r="F36" s="18">
        <v>2000</v>
      </c>
    </row>
    <row r="37" spans="1:6" ht="19" x14ac:dyDescent="0.45">
      <c r="A37" s="16">
        <v>35</v>
      </c>
      <c r="B37" s="16">
        <f>運動!U43</f>
        <v>24262.2</v>
      </c>
      <c r="C37" s="16">
        <f t="shared" si="0"/>
        <v>0.05</v>
      </c>
      <c r="D37" s="16">
        <f t="shared" si="44"/>
        <v>1213</v>
      </c>
      <c r="E37" s="17">
        <f t="shared" si="45"/>
        <v>3755</v>
      </c>
      <c r="F37" s="18">
        <v>1500</v>
      </c>
    </row>
    <row r="38" spans="1:6" ht="19" x14ac:dyDescent="0.45">
      <c r="A38" s="16">
        <v>36</v>
      </c>
      <c r="B38" s="16">
        <f>運動!U44</f>
        <v>12624.2</v>
      </c>
      <c r="C38" s="16">
        <f t="shared" si="0"/>
        <v>0.05</v>
      </c>
      <c r="D38" s="16">
        <f t="shared" ref="D38" si="46">ROUND(B38*C38,0)</f>
        <v>631</v>
      </c>
      <c r="E38" s="17">
        <f t="shared" ref="E38" si="47">E37+D38-F38</f>
        <v>4386</v>
      </c>
      <c r="F38" s="18">
        <v>0</v>
      </c>
    </row>
    <row r="39" spans="1:6" ht="19" x14ac:dyDescent="0.45">
      <c r="A39" s="16">
        <v>37</v>
      </c>
      <c r="B39" s="16">
        <f>運動!U45</f>
        <v>18444.599999999999</v>
      </c>
      <c r="C39" s="16">
        <f t="shared" si="0"/>
        <v>0.05</v>
      </c>
      <c r="D39" s="16">
        <f t="shared" ref="D39:D40" si="48">ROUND(B39*C39,0)</f>
        <v>922</v>
      </c>
      <c r="E39" s="17">
        <f t="shared" ref="E39:E40" si="49">E38+D39-F39</f>
        <v>5308</v>
      </c>
      <c r="F39" s="18">
        <v>0</v>
      </c>
    </row>
    <row r="40" spans="1:6" ht="19" x14ac:dyDescent="0.45">
      <c r="A40" s="16">
        <v>38</v>
      </c>
      <c r="B40" s="16">
        <f>運動!U46</f>
        <v>15946.400000000001</v>
      </c>
      <c r="C40" s="16">
        <f t="shared" si="0"/>
        <v>0.05</v>
      </c>
      <c r="D40" s="16">
        <f t="shared" si="48"/>
        <v>797</v>
      </c>
      <c r="E40" s="17">
        <f t="shared" si="49"/>
        <v>6105</v>
      </c>
      <c r="F40" s="18">
        <v>0</v>
      </c>
    </row>
    <row r="41" spans="1:6" ht="19" x14ac:dyDescent="0.45">
      <c r="A41" s="16">
        <v>39</v>
      </c>
      <c r="B41" s="16">
        <f>運動!U47</f>
        <v>20879.8</v>
      </c>
      <c r="C41" s="16">
        <f t="shared" si="0"/>
        <v>0.05</v>
      </c>
      <c r="D41" s="16">
        <f t="shared" ref="D41" si="50">ROUND(B41*C41,0)</f>
        <v>1044</v>
      </c>
      <c r="E41" s="17">
        <f t="shared" ref="E41" si="51">E40+D41-F41</f>
        <v>5649</v>
      </c>
      <c r="F41" s="18">
        <v>1500</v>
      </c>
    </row>
    <row r="42" spans="1:6" ht="19" x14ac:dyDescent="0.45">
      <c r="A42" s="16">
        <v>40</v>
      </c>
      <c r="B42" s="16">
        <f>運動!U48</f>
        <v>14735.6</v>
      </c>
      <c r="C42" s="16">
        <f t="shared" si="0"/>
        <v>0.05</v>
      </c>
      <c r="D42" s="16">
        <f t="shared" ref="D42" si="52">ROUND(B42*C42,0)</f>
        <v>737</v>
      </c>
      <c r="E42" s="17">
        <f t="shared" ref="E42" si="53">E41+D42-F42</f>
        <v>2386</v>
      </c>
      <c r="F42" s="18">
        <v>4000</v>
      </c>
    </row>
    <row r="43" spans="1:6" ht="19" x14ac:dyDescent="0.45">
      <c r="A43" s="16">
        <v>41</v>
      </c>
      <c r="B43" s="16">
        <f>運動!U49</f>
        <v>16454.599999999999</v>
      </c>
      <c r="C43" s="16">
        <f t="shared" si="0"/>
        <v>0.05</v>
      </c>
      <c r="D43" s="16">
        <f t="shared" ref="D43" si="54">ROUND(B43*C43,0)</f>
        <v>823</v>
      </c>
      <c r="E43" s="17">
        <f t="shared" ref="E43" si="55">E42+D43-F43</f>
        <v>3209</v>
      </c>
      <c r="F43" s="18">
        <v>0</v>
      </c>
    </row>
    <row r="44" spans="1:6" ht="19" x14ac:dyDescent="0.45">
      <c r="A44" s="16">
        <v>42</v>
      </c>
      <c r="B44" s="16">
        <f>運動!U50</f>
        <v>21890</v>
      </c>
      <c r="C44" s="16">
        <f t="shared" si="0"/>
        <v>0.05</v>
      </c>
      <c r="D44" s="16">
        <f t="shared" ref="D44" si="56">ROUND(B44*C44,0)</f>
        <v>1095</v>
      </c>
      <c r="E44" s="17">
        <f t="shared" ref="E44" si="57">E43+D44-F44</f>
        <v>4304</v>
      </c>
      <c r="F44" s="18">
        <v>0</v>
      </c>
    </row>
    <row r="45" spans="1:6" ht="19" x14ac:dyDescent="0.45">
      <c r="A45" s="16">
        <v>43</v>
      </c>
      <c r="B45" s="16">
        <f>運動!U51</f>
        <v>11168.2</v>
      </c>
      <c r="C45" s="16">
        <f t="shared" si="0"/>
        <v>0.05</v>
      </c>
      <c r="D45" s="16">
        <f t="shared" ref="D45" si="58">ROUND(B45*C45,0)</f>
        <v>558</v>
      </c>
      <c r="E45" s="17">
        <f t="shared" ref="E45" si="59">E44+D45-F45</f>
        <v>4862</v>
      </c>
      <c r="F45" s="18">
        <v>0</v>
      </c>
    </row>
    <row r="46" spans="1:6" ht="19" x14ac:dyDescent="0.45">
      <c r="A46" s="16">
        <v>44</v>
      </c>
      <c r="B46" s="16">
        <f>運動!U52</f>
        <v>21460.6</v>
      </c>
      <c r="C46" s="16">
        <f t="shared" si="0"/>
        <v>0.05</v>
      </c>
      <c r="D46" s="16">
        <f t="shared" ref="D46:D47" si="60">ROUND(B46*C46,0)</f>
        <v>1073</v>
      </c>
      <c r="E46" s="17">
        <f t="shared" ref="E46:E47" si="61">E45+D46-F46</f>
        <v>5935</v>
      </c>
      <c r="F46" s="18">
        <v>0</v>
      </c>
    </row>
    <row r="47" spans="1:6" ht="19" x14ac:dyDescent="0.45">
      <c r="A47" s="16">
        <v>45</v>
      </c>
      <c r="B47" s="16">
        <f>運動!U53</f>
        <v>17615</v>
      </c>
      <c r="C47" s="16">
        <f t="shared" si="0"/>
        <v>0.05</v>
      </c>
      <c r="D47" s="16">
        <f t="shared" si="60"/>
        <v>881</v>
      </c>
      <c r="E47" s="17">
        <f t="shared" si="61"/>
        <v>4816</v>
      </c>
      <c r="F47" s="18">
        <v>2000</v>
      </c>
    </row>
    <row r="48" spans="1:6" ht="19" x14ac:dyDescent="0.45">
      <c r="A48" s="16">
        <v>46</v>
      </c>
      <c r="B48" s="16">
        <f>運動!U54</f>
        <v>21425</v>
      </c>
      <c r="C48" s="16">
        <f t="shared" si="0"/>
        <v>0.05</v>
      </c>
      <c r="D48" s="16">
        <f t="shared" ref="D48:D49" si="62">ROUND(B48*C48,0)</f>
        <v>1071</v>
      </c>
      <c r="E48" s="17">
        <f t="shared" ref="E48:E49" si="63">E47+D48-F48</f>
        <v>4387</v>
      </c>
      <c r="F48" s="18">
        <v>1500</v>
      </c>
    </row>
    <row r="49" spans="1:6" ht="19" x14ac:dyDescent="0.45">
      <c r="A49" s="16">
        <v>47</v>
      </c>
      <c r="B49" s="16">
        <f>運動!U55</f>
        <v>18482</v>
      </c>
      <c r="C49" s="16">
        <f t="shared" si="0"/>
        <v>0.05</v>
      </c>
      <c r="D49" s="16">
        <f t="shared" si="62"/>
        <v>924</v>
      </c>
      <c r="E49" s="17">
        <f t="shared" si="63"/>
        <v>5311</v>
      </c>
      <c r="F49" s="18">
        <v>0</v>
      </c>
    </row>
    <row r="50" spans="1:6" ht="19" x14ac:dyDescent="0.45">
      <c r="A50" s="16">
        <v>48</v>
      </c>
      <c r="B50" s="16">
        <f>運動!U56</f>
        <v>23420.799999999999</v>
      </c>
      <c r="C50" s="16">
        <f t="shared" si="0"/>
        <v>0.05</v>
      </c>
      <c r="D50" s="16">
        <f t="shared" ref="D50" si="64">ROUND(B50*C50,0)</f>
        <v>1171</v>
      </c>
      <c r="E50" s="17">
        <f t="shared" ref="E50" si="65">E49+D50-F50</f>
        <v>6482</v>
      </c>
      <c r="F50" s="18"/>
    </row>
    <row r="51" spans="1:6" ht="19" x14ac:dyDescent="0.45">
      <c r="A51" s="16">
        <v>49</v>
      </c>
      <c r="B51" s="16">
        <f>運動!U57</f>
        <v>12788.6</v>
      </c>
      <c r="C51" s="16">
        <f t="shared" si="0"/>
        <v>0.05</v>
      </c>
      <c r="D51" s="16">
        <f t="shared" ref="D51:D52" si="66">ROUND(B51*C51,0)</f>
        <v>639</v>
      </c>
      <c r="E51" s="17">
        <f t="shared" ref="E51:E52" si="67">E50+D51-F51</f>
        <v>7121</v>
      </c>
      <c r="F51" s="18"/>
    </row>
    <row r="52" spans="1:6" ht="19" x14ac:dyDescent="0.45">
      <c r="A52" s="16">
        <v>50</v>
      </c>
      <c r="B52" s="16">
        <f>運動!U58</f>
        <v>21506</v>
      </c>
      <c r="C52" s="16">
        <f t="shared" si="0"/>
        <v>0.05</v>
      </c>
      <c r="D52" s="16">
        <f t="shared" si="66"/>
        <v>1075</v>
      </c>
      <c r="E52" s="17">
        <f t="shared" si="67"/>
        <v>6696</v>
      </c>
      <c r="F52" s="18">
        <v>1500</v>
      </c>
    </row>
    <row r="53" spans="1:6" ht="19" x14ac:dyDescent="0.45">
      <c r="A53" s="16">
        <v>51</v>
      </c>
      <c r="B53" s="16">
        <f>運動!U59</f>
        <v>23698.6</v>
      </c>
      <c r="C53" s="16">
        <f t="shared" si="0"/>
        <v>0.05</v>
      </c>
      <c r="D53" s="16">
        <f t="shared" ref="D53:D54" si="68">ROUND(B53*C53,0)</f>
        <v>1185</v>
      </c>
      <c r="E53" s="17">
        <f t="shared" ref="E53:E54" si="69">E52+D53-F53</f>
        <v>7881</v>
      </c>
      <c r="F53" s="18"/>
    </row>
    <row r="54" spans="1:6" ht="19" x14ac:dyDescent="0.45">
      <c r="A54" s="16">
        <v>52</v>
      </c>
      <c r="B54" s="16">
        <f>運動!U60</f>
        <v>18751.400000000001</v>
      </c>
      <c r="C54" s="16">
        <f t="shared" si="0"/>
        <v>0.05</v>
      </c>
      <c r="D54" s="16">
        <f t="shared" si="68"/>
        <v>938</v>
      </c>
      <c r="E54" s="17">
        <f t="shared" si="69"/>
        <v>6819</v>
      </c>
      <c r="F54" s="18">
        <v>2000</v>
      </c>
    </row>
    <row r="55" spans="1:6" ht="19" x14ac:dyDescent="0.45">
      <c r="A55" s="16">
        <v>53</v>
      </c>
      <c r="B55" s="16">
        <f>運動!U61</f>
        <v>23773</v>
      </c>
      <c r="C55" s="16">
        <f t="shared" si="0"/>
        <v>0.05</v>
      </c>
      <c r="D55" s="16">
        <f t="shared" ref="D55:D56" si="70">ROUND(B55*C55,0)</f>
        <v>1189</v>
      </c>
      <c r="E55" s="17">
        <f t="shared" ref="E55:E56" si="71">E54+D55-F55</f>
        <v>6008</v>
      </c>
      <c r="F55" s="18">
        <v>2000</v>
      </c>
    </row>
    <row r="56" spans="1:6" ht="19" x14ac:dyDescent="0.45">
      <c r="A56" s="16">
        <v>54</v>
      </c>
      <c r="B56" s="16">
        <f>運動!U62</f>
        <v>20574.800000000003</v>
      </c>
      <c r="C56" s="16">
        <f t="shared" si="0"/>
        <v>0.05</v>
      </c>
      <c r="D56" s="16">
        <f t="shared" si="70"/>
        <v>1029</v>
      </c>
      <c r="E56" s="17">
        <f t="shared" si="71"/>
        <v>3537</v>
      </c>
      <c r="F56" s="18">
        <v>3500</v>
      </c>
    </row>
    <row r="57" spans="1:6" ht="19" x14ac:dyDescent="0.45">
      <c r="A57" s="16">
        <v>55</v>
      </c>
      <c r="B57" s="16">
        <f>運動!U63</f>
        <v>31639.4</v>
      </c>
      <c r="C57" s="16">
        <f t="shared" si="0"/>
        <v>0.05</v>
      </c>
      <c r="D57" s="16">
        <f t="shared" ref="D57" si="72">ROUND(B57*C57,0)</f>
        <v>1582</v>
      </c>
      <c r="E57" s="17">
        <f t="shared" ref="E57" si="73">E56+D57-F57</f>
        <v>5119</v>
      </c>
      <c r="F57" s="18"/>
    </row>
    <row r="58" spans="1:6" ht="19" x14ac:dyDescent="0.45">
      <c r="A58" s="16">
        <v>56</v>
      </c>
      <c r="B58" s="16">
        <f>運動!U64</f>
        <v>23365.4</v>
      </c>
      <c r="C58" s="16">
        <f t="shared" si="0"/>
        <v>0.05</v>
      </c>
      <c r="D58" s="16">
        <f t="shared" ref="D58:D59" si="74">ROUND(B58*C58,0)</f>
        <v>1168</v>
      </c>
      <c r="E58" s="17">
        <f t="shared" ref="E58:E59" si="75">E57+D58-F58</f>
        <v>4787</v>
      </c>
      <c r="F58" s="18">
        <v>1500</v>
      </c>
    </row>
    <row r="59" spans="1:6" ht="19" x14ac:dyDescent="0.45">
      <c r="A59" s="16">
        <v>57</v>
      </c>
      <c r="B59" s="16">
        <f>運動!U65</f>
        <v>30590.400000000001</v>
      </c>
      <c r="C59" s="16">
        <f t="shared" si="0"/>
        <v>0.05</v>
      </c>
      <c r="D59" s="16">
        <f t="shared" si="74"/>
        <v>1530</v>
      </c>
      <c r="E59" s="17">
        <f t="shared" si="75"/>
        <v>6317</v>
      </c>
      <c r="F59" s="18"/>
    </row>
    <row r="60" spans="1:6" ht="19" x14ac:dyDescent="0.45">
      <c r="A60" s="16">
        <v>58</v>
      </c>
      <c r="B60" s="16">
        <f>運動!U66</f>
        <v>22982.799999999999</v>
      </c>
      <c r="C60" s="16">
        <f t="shared" si="0"/>
        <v>0.05</v>
      </c>
      <c r="D60" s="16">
        <f t="shared" ref="D60" si="76">ROUND(B60*C60,0)</f>
        <v>1149</v>
      </c>
      <c r="E60" s="17">
        <f t="shared" ref="E60" si="77">E59+D60-F60</f>
        <v>7466</v>
      </c>
      <c r="F60" s="18">
        <v>0</v>
      </c>
    </row>
    <row r="61" spans="1:6" ht="19" x14ac:dyDescent="0.45">
      <c r="A61" s="16">
        <v>59</v>
      </c>
      <c r="B61" s="16">
        <f>運動!U67</f>
        <v>24292.800000000003</v>
      </c>
      <c r="C61" s="16">
        <f t="shared" si="0"/>
        <v>0.05</v>
      </c>
      <c r="D61" s="16">
        <f t="shared" ref="D61" si="78">ROUND(B61*C61,0)</f>
        <v>1215</v>
      </c>
      <c r="E61" s="17">
        <f t="shared" ref="E61" si="79">E60+D61-F61</f>
        <v>6581</v>
      </c>
      <c r="F61" s="18">
        <v>2100</v>
      </c>
    </row>
  </sheetData>
  <sortState xmlns:xlrd2="http://schemas.microsoft.com/office/spreadsheetml/2017/richdata2" ref="A2:F11">
    <sortCondition ref="A3:A11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F7470-AA48-4FD8-9A59-F5CA3D1023FE}">
  <dimension ref="A1"/>
  <sheetViews>
    <sheetView workbookViewId="0">
      <selection activeCell="T30" sqref="T30"/>
    </sheetView>
  </sheetViews>
  <sheetFormatPr defaultRowHeight="14.5" x14ac:dyDescent="0.3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運動</vt:lpstr>
      <vt:lpstr>按摩基金</vt:lpstr>
      <vt:lpstr>趨勢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weihan chen</dc:creator>
  <cp:lastModifiedBy>weihan chen</cp:lastModifiedBy>
  <dcterms:created xsi:type="dcterms:W3CDTF">2015-06-05T18:19:34Z</dcterms:created>
  <dcterms:modified xsi:type="dcterms:W3CDTF">2025-10-19T12:06:46Z</dcterms:modified>
</cp:coreProperties>
</file>